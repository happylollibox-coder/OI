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ppylolli-my.sharepoint.com/personal/a_happy-lolli_com/Documents/Develop/OI/data-entry-app/excel_templates/"/>
    </mc:Choice>
  </mc:AlternateContent>
  <xr:revisionPtr revIDLastSave="13" documentId="8_{E80F9970-3726-9345-8CD4-3FB291A6BDF8}" xr6:coauthVersionLast="47" xr6:coauthVersionMax="47" xr10:uidLastSave="{62C2F958-E194-144F-A5F6-AC3FC59298DE}"/>
  <bookViews>
    <workbookView xWindow="0" yWindow="500" windowWidth="28800" windowHeight="16380" xr2:uid="{821013DC-91F4-2041-A800-1AB0707DF6B2}"/>
  </bookViews>
  <sheets>
    <sheet name=" order+ship 2025 (2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0" i="1" l="1"/>
  <c r="J380" i="1"/>
  <c r="G380" i="1"/>
  <c r="H380" i="1" s="1"/>
  <c r="N386" i="1"/>
  <c r="F380" i="1"/>
  <c r="K356" i="1"/>
  <c r="J356" i="1"/>
  <c r="G356" i="1"/>
  <c r="H356" i="1" s="1"/>
  <c r="F356" i="1"/>
  <c r="G334" i="1"/>
  <c r="H334" i="1" s="1"/>
  <c r="N347" i="1"/>
  <c r="N346" i="1"/>
  <c r="N345" i="1"/>
  <c r="N344" i="1"/>
  <c r="N343" i="1"/>
  <c r="N342" i="1"/>
  <c r="N341" i="1"/>
  <c r="N340" i="1"/>
  <c r="K334" i="1"/>
  <c r="J334" i="1"/>
  <c r="L334" i="1" s="1"/>
  <c r="F334" i="1"/>
  <c r="J304" i="1"/>
  <c r="G304" i="1"/>
  <c r="H304" i="1" s="1"/>
  <c r="K304" i="1"/>
  <c r="F304" i="1"/>
  <c r="N304" i="1" s="1"/>
  <c r="B304" i="1"/>
  <c r="L380" i="1" l="1"/>
  <c r="N356" i="1"/>
  <c r="L304" i="1"/>
  <c r="N334" i="1"/>
  <c r="L356" i="1"/>
  <c r="N380" i="1"/>
  <c r="C50" i="1" l="1"/>
  <c r="C162" i="1"/>
  <c r="C192" i="1"/>
  <c r="K269" i="1"/>
  <c r="H269" i="1"/>
  <c r="I269" i="1" s="1"/>
  <c r="O296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C275" i="1"/>
  <c r="L269" i="1"/>
  <c r="G269" i="1"/>
  <c r="B269" i="1"/>
  <c r="B275" i="1" s="1"/>
  <c r="L207" i="1"/>
  <c r="K207" i="1"/>
  <c r="H207" i="1"/>
  <c r="I207" i="1" s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G207" i="1"/>
  <c r="L186" i="1"/>
  <c r="K186" i="1"/>
  <c r="H186" i="1"/>
  <c r="I186" i="1" s="1"/>
  <c r="O198" i="1"/>
  <c r="O197" i="1"/>
  <c r="O196" i="1"/>
  <c r="O195" i="1"/>
  <c r="O194" i="1"/>
  <c r="O193" i="1"/>
  <c r="O192" i="1"/>
  <c r="Q189" i="1"/>
  <c r="G186" i="1"/>
  <c r="L156" i="1"/>
  <c r="K156" i="1"/>
  <c r="H156" i="1"/>
  <c r="I156" i="1" s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G156" i="1"/>
  <c r="L135" i="1"/>
  <c r="K135" i="1"/>
  <c r="H135" i="1"/>
  <c r="I135" i="1" s="1"/>
  <c r="O145" i="1"/>
  <c r="O144" i="1"/>
  <c r="O143" i="1"/>
  <c r="O142" i="1"/>
  <c r="O141" i="1"/>
  <c r="E135" i="1"/>
  <c r="L110" i="1"/>
  <c r="K110" i="1"/>
  <c r="I126" i="1"/>
  <c r="O126" i="1" s="1"/>
  <c r="O125" i="1"/>
  <c r="I124" i="1"/>
  <c r="O124" i="1" s="1"/>
  <c r="I123" i="1"/>
  <c r="O123" i="1" s="1"/>
  <c r="O122" i="1"/>
  <c r="I121" i="1"/>
  <c r="O121" i="1" s="1"/>
  <c r="O120" i="1"/>
  <c r="O119" i="1"/>
  <c r="O118" i="1"/>
  <c r="O117" i="1"/>
  <c r="O116" i="1"/>
  <c r="G110" i="1"/>
  <c r="L82" i="1"/>
  <c r="K82" i="1"/>
  <c r="H82" i="1"/>
  <c r="I82" i="1" s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G82" i="1"/>
  <c r="L44" i="1"/>
  <c r="K44" i="1"/>
  <c r="H44" i="1"/>
  <c r="I44" i="1" s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G44" i="1"/>
  <c r="L7" i="1"/>
  <c r="K7" i="1"/>
  <c r="H7" i="1"/>
  <c r="I7" i="1" s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G7" i="1"/>
  <c r="M7" i="1" l="1"/>
  <c r="M44" i="1"/>
  <c r="M135" i="1"/>
  <c r="M269" i="1"/>
  <c r="M110" i="1"/>
  <c r="G135" i="1"/>
  <c r="O156" i="1"/>
  <c r="M186" i="1"/>
  <c r="H110" i="1"/>
  <c r="I110" i="1" s="1"/>
  <c r="M207" i="1"/>
  <c r="M82" i="1"/>
  <c r="M156" i="1"/>
  <c r="O7" i="1" l="1"/>
  <c r="O269" i="1"/>
  <c r="O82" i="1"/>
  <c r="O44" i="1"/>
  <c r="O186" i="1"/>
  <c r="O207" i="1"/>
  <c r="O135" i="1"/>
  <c r="O110" i="1"/>
  <c r="Q186" i="1" l="1"/>
  <c r="Q190" i="1" s="1"/>
  <c r="Q192" i="1" s="1"/>
  <c r="Q194" i="1" s="1"/>
</calcChain>
</file>

<file path=xl/sharedStrings.xml><?xml version="1.0" encoding="utf-8"?>
<sst xmlns="http://schemas.openxmlformats.org/spreadsheetml/2006/main" count="589" uniqueCount="135">
  <si>
    <t>תאריך הזמנה</t>
  </si>
  <si>
    <t>כמות</t>
  </si>
  <si>
    <t>מחיר</t>
  </si>
  <si>
    <t>מחיר ליחידה</t>
  </si>
  <si>
    <t>נשלח לאמזון</t>
  </si>
  <si>
    <t>בייצור</t>
  </si>
  <si>
    <t>סה״ע עלויות שילוח</t>
  </si>
  <si>
    <t>סה״כ שולם שילוח</t>
  </si>
  <si>
    <t>חוב פתוח שילוח</t>
  </si>
  <si>
    <t>תשלום לאמזון</t>
  </si>
  <si>
    <t>מחיר ליחידה כולל שילוח</t>
  </si>
  <si>
    <t>2.12.2025</t>
  </si>
  <si>
    <t>25.12.2025</t>
  </si>
  <si>
    <t>26.4.25</t>
  </si>
  <si>
    <t>/</t>
  </si>
  <si>
    <t>DIARY- LOLLIME</t>
  </si>
  <si>
    <t>תשלומים לסלביה</t>
  </si>
  <si>
    <t>משלוחים</t>
  </si>
  <si>
    <t>תאריך</t>
  </si>
  <si>
    <t>סכום</t>
  </si>
  <si>
    <t>עמלת פיוניר</t>
  </si>
  <si>
    <t>הערות</t>
  </si>
  <si>
    <t>מחיר לקג</t>
  </si>
  <si>
    <t>שולם</t>
  </si>
  <si>
    <t>תאריך תשלום</t>
  </si>
  <si>
    <t>שילוח ליחידה</t>
  </si>
  <si>
    <t>סכום כולל</t>
  </si>
  <si>
    <t>IND9</t>
  </si>
  <si>
    <t>מקדמה- 30%</t>
  </si>
  <si>
    <t>VGT2</t>
  </si>
  <si>
    <t>תשלום 2</t>
  </si>
  <si>
    <t>PSP3</t>
  </si>
  <si>
    <t>תשלום 3</t>
  </si>
  <si>
    <t>MQJ1</t>
  </si>
  <si>
    <t>תשלום סופי</t>
  </si>
  <si>
    <t>SCK4</t>
  </si>
  <si>
    <t>FTW1</t>
  </si>
  <si>
    <t>GYR2</t>
  </si>
  <si>
    <t>RMN3</t>
  </si>
  <si>
    <t>RDU4</t>
  </si>
  <si>
    <t>TRUTH OR DARE</t>
  </si>
  <si>
    <t>4.12.2025</t>
  </si>
  <si>
    <t>PINK BOX</t>
  </si>
  <si>
    <t>Fresh in pink</t>
  </si>
  <si>
    <t>BLUE BOX</t>
  </si>
  <si>
    <t>GSXQ</t>
  </si>
  <si>
    <t>JPFX</t>
  </si>
  <si>
    <t>XNCN</t>
  </si>
  <si>
    <t>VY0G</t>
  </si>
  <si>
    <t>9HV7</t>
  </si>
  <si>
    <t xml:space="preserve"> AWD- STAR-U4YYBWWXSXY7K </t>
  </si>
  <si>
    <t>STAR-RVBW5BXWXPTBU</t>
  </si>
  <si>
    <t>BAN6</t>
  </si>
  <si>
    <t>TEB9</t>
  </si>
  <si>
    <t>ABE8</t>
  </si>
  <si>
    <t>GYR3</t>
  </si>
  <si>
    <t>FWA4</t>
  </si>
  <si>
    <t>LAX9</t>
  </si>
  <si>
    <t>CLT2</t>
  </si>
  <si>
    <t>MEM1</t>
  </si>
  <si>
    <t xml:space="preserve">GYR3 </t>
  </si>
  <si>
    <t>EMN3</t>
  </si>
  <si>
    <t>STAR-QC2JEQCXWBXFS</t>
  </si>
  <si>
    <t>STAR-UBEC22SW64XN4</t>
  </si>
  <si>
    <t>WHITE BOX</t>
  </si>
  <si>
    <t>10.5.25</t>
  </si>
  <si>
    <t>NJQG</t>
  </si>
  <si>
    <t>מקדמה- 40%</t>
  </si>
  <si>
    <t>FPPK</t>
  </si>
  <si>
    <t>4.9.2025</t>
  </si>
  <si>
    <t>Y7682</t>
  </si>
  <si>
    <t>4XT4</t>
  </si>
  <si>
    <t>FGZW</t>
  </si>
  <si>
    <t>05DM</t>
  </si>
  <si>
    <t>PS7V</t>
  </si>
  <si>
    <t>B2CS</t>
  </si>
  <si>
    <t>QP3P</t>
  </si>
  <si>
    <t>6J13</t>
  </si>
  <si>
    <t>AWD- STAR-U4YYBWWXSXY7K</t>
  </si>
  <si>
    <t>STAR-Q6KTG7SB3KY3M</t>
  </si>
  <si>
    <t>STAR-UDWNA7YEN3VFQ</t>
  </si>
  <si>
    <t>STAR-R6HKNHAWM6DYE</t>
  </si>
  <si>
    <t>STAR-X7B4CNKXBSXMU</t>
  </si>
  <si>
    <t>STAR-SMMNGAMNMWQGM</t>
  </si>
  <si>
    <t>STAR-WSZXQR6BJS2ZE</t>
  </si>
  <si>
    <t>STAR-TKPKSYVRZUDQU</t>
  </si>
  <si>
    <t>PURPLE BOX</t>
  </si>
  <si>
    <t>משלוחים אנה</t>
  </si>
  <si>
    <t>8.7.25</t>
  </si>
  <si>
    <t>8.7.2025</t>
  </si>
  <si>
    <t>BNA6</t>
  </si>
  <si>
    <t>9MNR</t>
  </si>
  <si>
    <t>COTS</t>
  </si>
  <si>
    <t>KWXL</t>
  </si>
  <si>
    <t>1D16</t>
  </si>
  <si>
    <t>7WVZ</t>
  </si>
  <si>
    <t>P58V</t>
  </si>
  <si>
    <t>13/6/2025</t>
  </si>
  <si>
    <t>R2HX</t>
  </si>
  <si>
    <t>WNBR</t>
  </si>
  <si>
    <t>88JH</t>
  </si>
  <si>
    <t>J011</t>
  </si>
  <si>
    <t>30.5.25</t>
  </si>
  <si>
    <t>29.5.25</t>
  </si>
  <si>
    <t>13.8.25</t>
  </si>
  <si>
    <t>fix but not paid</t>
  </si>
  <si>
    <t>14.7.2025</t>
  </si>
  <si>
    <t>19.7.2025</t>
  </si>
  <si>
    <t>RMN</t>
  </si>
  <si>
    <t>TCY</t>
  </si>
  <si>
    <t>ONT</t>
  </si>
  <si>
    <t>CLT</t>
  </si>
  <si>
    <t>VG2</t>
  </si>
  <si>
    <t>LAS1</t>
  </si>
  <si>
    <t>רק יומנים- משלוח אמיתי</t>
  </si>
  <si>
    <t>MDW2</t>
  </si>
  <si>
    <t>RDU2</t>
  </si>
  <si>
    <t xml:space="preserve">PURPLE </t>
  </si>
  <si>
    <t>SMF3</t>
  </si>
  <si>
    <t>STAR-RP4NQMXNU2PFC</t>
  </si>
  <si>
    <t>STAR-WRWXM72R6FGPK</t>
  </si>
  <si>
    <t>STAR-VRRQ4P3DAEET2</t>
  </si>
  <si>
    <t>LAN2</t>
  </si>
  <si>
    <t>PBI3</t>
  </si>
  <si>
    <t>לקחתי מלמעלהה 24 יחידות להזמנה הזאת.</t>
  </si>
  <si>
    <t>ORF2</t>
  </si>
  <si>
    <t>RFD2</t>
  </si>
  <si>
    <t>SBD1</t>
  </si>
  <si>
    <t>ONT8</t>
  </si>
  <si>
    <t>SWF2</t>
  </si>
  <si>
    <t>תיקון</t>
  </si>
  <si>
    <t>refference</t>
  </si>
  <si>
    <t>TMB8</t>
  </si>
  <si>
    <t>AVP1</t>
  </si>
  <si>
    <t>LGB8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</si>
</sst>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1"/>
      <name val="Arial"/>
      <family val="1"/>
    </font>
    <font>
      <sz val="11"/>
      <name val="Arial"/>
      <family val="1"/>
    </font>
    <font>
      <b/>
      <sz val="48"/>
      <name val="Arial"/>
      <family val="1"/>
    </font>
    <font>
      <b/>
      <sz val="14"/>
      <name val="Arial"/>
      <family val="2"/>
    </font>
    <font>
      <b/>
      <sz val="28"/>
      <name val="Arial"/>
      <family val="2"/>
    </font>
    <font>
      <sz val="16"/>
      <name val="Arial"/>
      <family val="1"/>
    </font>
    <font>
      <b/>
      <sz val="16"/>
      <name val="Arial"/>
      <family val="2"/>
    </font>
    <font>
      <b/>
      <sz val="11"/>
      <name val="Amazon Ember"/>
      <charset val="1"/>
    </font>
    <font>
      <b/>
      <sz val="14"/>
      <color rgb="FF232F3E"/>
      <name val="Arial"/>
      <family val="2"/>
    </font>
    <font>
      <sz val="14"/>
      <color rgb="FF667575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ACF2EE"/>
        <bgColor indexed="64"/>
      </patternFill>
    </fill>
    <fill>
      <patternFill patternType="solid">
        <fgColor rgb="FFFF00AA"/>
        <bgColor indexed="64"/>
      </patternFill>
    </fill>
    <fill>
      <patternFill patternType="solid">
        <fgColor rgb="FFFFDBE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C645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4">
    <xf numFmtId="0" fontId="0" fillId="0" borderId="0" xfId="0"/>
    <xf numFmtId="43" fontId="0" fillId="0" borderId="0" xfId="1" applyFont="1"/>
    <xf numFmtId="43" fontId="0" fillId="0" borderId="0" xfId="1" applyFont="1" applyFill="1" applyBorder="1"/>
    <xf numFmtId="43" fontId="0" fillId="0" borderId="0" xfId="1" applyFont="1" applyFill="1" applyBorder="1" applyAlignment="1">
      <alignment horizontal="center"/>
    </xf>
    <xf numFmtId="43" fontId="3" fillId="2" borderId="2" xfId="1" applyFont="1" applyFill="1" applyBorder="1" applyAlignment="1">
      <alignment horizontal="center"/>
    </xf>
    <xf numFmtId="43" fontId="3" fillId="2" borderId="3" xfId="1" applyFont="1" applyFill="1" applyBorder="1" applyAlignment="1">
      <alignment horizontal="center"/>
    </xf>
    <xf numFmtId="43" fontId="3" fillId="2" borderId="4" xfId="1" applyFont="1" applyFill="1" applyBorder="1" applyAlignment="1">
      <alignment horizontal="center"/>
    </xf>
    <xf numFmtId="14" fontId="4" fillId="2" borderId="3" xfId="1" applyNumberFormat="1" applyFont="1" applyFill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6" xfId="1" applyFont="1" applyBorder="1" applyAlignment="1">
      <alignment horizontal="center"/>
    </xf>
    <xf numFmtId="43" fontId="4" fillId="3" borderId="3" xfId="1" applyFont="1" applyFill="1" applyBorder="1" applyAlignment="1">
      <alignment horizontal="center"/>
    </xf>
    <xf numFmtId="14" fontId="4" fillId="4" borderId="3" xfId="1" applyNumberFormat="1" applyFont="1" applyFill="1" applyBorder="1" applyAlignment="1">
      <alignment horizontal="center"/>
    </xf>
    <xf numFmtId="43" fontId="4" fillId="5" borderId="3" xfId="1" applyFont="1" applyFill="1" applyBorder="1" applyAlignment="1">
      <alignment horizontal="center"/>
    </xf>
    <xf numFmtId="43" fontId="2" fillId="0" borderId="0" xfId="1" applyFont="1"/>
    <xf numFmtId="43" fontId="2" fillId="0" borderId="0" xfId="1" applyFont="1" applyAlignment="1">
      <alignment horizontal="center"/>
    </xf>
    <xf numFmtId="43" fontId="0" fillId="2" borderId="0" xfId="1" applyFont="1" applyFill="1"/>
    <xf numFmtId="43" fontId="4" fillId="2" borderId="2" xfId="1" applyFont="1" applyFill="1" applyBorder="1" applyAlignment="1">
      <alignment wrapText="1"/>
    </xf>
    <xf numFmtId="43" fontId="4" fillId="2" borderId="3" xfId="1" applyFont="1" applyFill="1" applyBorder="1" applyAlignment="1">
      <alignment horizontal="center"/>
    </xf>
    <xf numFmtId="43" fontId="5" fillId="2" borderId="3" xfId="1" applyFont="1" applyFill="1" applyBorder="1"/>
    <xf numFmtId="43" fontId="0" fillId="2" borderId="4" xfId="1" applyFont="1" applyFill="1" applyBorder="1"/>
    <xf numFmtId="43" fontId="0" fillId="0" borderId="7" xfId="1" applyFont="1" applyBorder="1"/>
    <xf numFmtId="43" fontId="0" fillId="0" borderId="0" xfId="1" applyFont="1" applyAlignment="1">
      <alignment horizontal="center"/>
    </xf>
    <xf numFmtId="43" fontId="0" fillId="0" borderId="8" xfId="1" applyFont="1" applyBorder="1"/>
    <xf numFmtId="14" fontId="0" fillId="0" borderId="9" xfId="1" applyNumberFormat="1" applyFont="1" applyBorder="1" applyAlignment="1">
      <alignment horizontal="center"/>
    </xf>
    <xf numFmtId="43" fontId="5" fillId="6" borderId="7" xfId="1" applyFont="1" applyFill="1" applyBorder="1"/>
    <xf numFmtId="43" fontId="5" fillId="0" borderId="0" xfId="1" applyFont="1" applyAlignment="1">
      <alignment horizontal="center"/>
    </xf>
    <xf numFmtId="43" fontId="5" fillId="0" borderId="0" xfId="1" applyFont="1"/>
    <xf numFmtId="43" fontId="6" fillId="7" borderId="0" xfId="1" applyFont="1" applyFill="1"/>
    <xf numFmtId="43" fontId="5" fillId="6" borderId="10" xfId="1" applyFont="1" applyFill="1" applyBorder="1"/>
    <xf numFmtId="43" fontId="5" fillId="6" borderId="1" xfId="1" applyFont="1" applyFill="1" applyBorder="1" applyAlignment="1">
      <alignment horizontal="center"/>
    </xf>
    <xf numFmtId="43" fontId="5" fillId="6" borderId="1" xfId="1" applyFont="1" applyFill="1" applyBorder="1"/>
    <xf numFmtId="43" fontId="5" fillId="7" borderId="1" xfId="1" applyFont="1" applyFill="1" applyBorder="1" applyAlignment="1">
      <alignment horizontal="center"/>
    </xf>
    <xf numFmtId="14" fontId="5" fillId="0" borderId="7" xfId="1" applyNumberFormat="1" applyFont="1" applyBorder="1" applyAlignment="1">
      <alignment horizontal="right"/>
    </xf>
    <xf numFmtId="43" fontId="5" fillId="0" borderId="0" xfId="1" applyFont="1" applyFill="1" applyAlignment="1">
      <alignment horizontal="center"/>
    </xf>
    <xf numFmtId="43" fontId="5" fillId="0" borderId="11" xfId="1" applyFont="1" applyFill="1" applyBorder="1" applyAlignment="1">
      <alignment horizontal="right"/>
    </xf>
    <xf numFmtId="14" fontId="5" fillId="0" borderId="1" xfId="1" applyNumberFormat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/>
    </xf>
    <xf numFmtId="43" fontId="5" fillId="0" borderId="1" xfId="1" applyFont="1" applyFill="1" applyBorder="1" applyAlignment="1">
      <alignment horizontal="center"/>
    </xf>
    <xf numFmtId="43" fontId="0" fillId="0" borderId="0" xfId="1" applyFont="1" applyFill="1"/>
    <xf numFmtId="43" fontId="5" fillId="0" borderId="7" xfId="1" applyFont="1" applyFill="1" applyBorder="1" applyAlignment="1">
      <alignment horizontal="right"/>
    </xf>
    <xf numFmtId="43" fontId="5" fillId="0" borderId="7" xfId="1" applyFont="1" applyFill="1" applyBorder="1"/>
    <xf numFmtId="43" fontId="5" fillId="8" borderId="12" xfId="1" applyFont="1" applyFill="1" applyBorder="1"/>
    <xf numFmtId="43" fontId="5" fillId="8" borderId="13" xfId="1" applyFont="1" applyFill="1" applyBorder="1" applyAlignment="1">
      <alignment horizontal="center"/>
    </xf>
    <xf numFmtId="43" fontId="5" fillId="0" borderId="14" xfId="1" applyFont="1" applyBorder="1"/>
    <xf numFmtId="14" fontId="5" fillId="0" borderId="1" xfId="1" applyNumberFormat="1" applyFont="1" applyFill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7" fillId="0" borderId="0" xfId="0" applyFont="1"/>
    <xf numFmtId="43" fontId="0" fillId="2" borderId="9" xfId="1" applyFont="1" applyFill="1" applyBorder="1"/>
    <xf numFmtId="43" fontId="0" fillId="2" borderId="5" xfId="1" applyFont="1" applyFill="1" applyBorder="1" applyAlignment="1">
      <alignment horizontal="center"/>
    </xf>
    <xf numFmtId="43" fontId="0" fillId="2" borderId="5" xfId="1" applyFont="1" applyFill="1" applyBorder="1"/>
    <xf numFmtId="43" fontId="0" fillId="2" borderId="6" xfId="1" applyFont="1" applyFill="1" applyBorder="1"/>
    <xf numFmtId="43" fontId="0" fillId="3" borderId="0" xfId="1" applyFont="1" applyFill="1"/>
    <xf numFmtId="43" fontId="4" fillId="3" borderId="2" xfId="1" applyFont="1" applyFill="1" applyBorder="1" applyAlignment="1">
      <alignment wrapText="1"/>
    </xf>
    <xf numFmtId="43" fontId="5" fillId="3" borderId="3" xfId="1" applyFont="1" applyFill="1" applyBorder="1"/>
    <xf numFmtId="43" fontId="0" fillId="3" borderId="4" xfId="1" applyFont="1" applyFill="1" applyBorder="1"/>
    <xf numFmtId="43" fontId="3" fillId="3" borderId="2" xfId="1" applyFont="1" applyFill="1" applyBorder="1" applyAlignment="1">
      <alignment horizontal="center"/>
    </xf>
    <xf numFmtId="43" fontId="3" fillId="3" borderId="3" xfId="1" applyFont="1" applyFill="1" applyBorder="1" applyAlignment="1">
      <alignment horizontal="center"/>
    </xf>
    <xf numFmtId="43" fontId="3" fillId="3" borderId="4" xfId="1" applyFont="1" applyFill="1" applyBorder="1" applyAlignment="1">
      <alignment horizontal="center"/>
    </xf>
    <xf numFmtId="43" fontId="5" fillId="6" borderId="15" xfId="1" applyFont="1" applyFill="1" applyBorder="1" applyAlignment="1">
      <alignment horizontal="center"/>
    </xf>
    <xf numFmtId="14" fontId="5" fillId="9" borderId="7" xfId="1" applyNumberFormat="1" applyFont="1" applyFill="1" applyBorder="1" applyAlignment="1">
      <alignment horizontal="right"/>
    </xf>
    <xf numFmtId="43" fontId="5" fillId="9" borderId="0" xfId="1" applyFont="1" applyFill="1" applyAlignment="1">
      <alignment horizontal="center"/>
    </xf>
    <xf numFmtId="43" fontId="5" fillId="0" borderId="11" xfId="1" applyFont="1" applyBorder="1" applyAlignment="1">
      <alignment horizontal="right"/>
    </xf>
    <xf numFmtId="43" fontId="5" fillId="9" borderId="7" xfId="1" applyFont="1" applyFill="1" applyBorder="1" applyAlignment="1">
      <alignment horizontal="right"/>
    </xf>
    <xf numFmtId="43" fontId="5" fillId="0" borderId="7" xfId="1" applyFont="1" applyBorder="1" applyAlignment="1">
      <alignment horizontal="right"/>
    </xf>
    <xf numFmtId="43" fontId="5" fillId="0" borderId="7" xfId="1" applyFont="1" applyBorder="1"/>
    <xf numFmtId="0" fontId="8" fillId="0" borderId="0" xfId="0" applyFont="1"/>
    <xf numFmtId="43" fontId="0" fillId="3" borderId="7" xfId="1" applyFont="1" applyFill="1" applyBorder="1"/>
    <xf numFmtId="43" fontId="0" fillId="3" borderId="0" xfId="1" applyFont="1" applyFill="1" applyAlignment="1">
      <alignment horizontal="center"/>
    </xf>
    <xf numFmtId="43" fontId="0" fillId="3" borderId="8" xfId="1" applyFont="1" applyFill="1" applyBorder="1"/>
    <xf numFmtId="43" fontId="0" fillId="3" borderId="9" xfId="1" applyFont="1" applyFill="1" applyBorder="1"/>
    <xf numFmtId="43" fontId="0" fillId="3" borderId="5" xfId="1" applyFont="1" applyFill="1" applyBorder="1" applyAlignment="1">
      <alignment horizontal="center"/>
    </xf>
    <xf numFmtId="43" fontId="0" fillId="3" borderId="5" xfId="1" applyFont="1" applyFill="1" applyBorder="1"/>
    <xf numFmtId="43" fontId="0" fillId="3" borderId="6" xfId="1" applyFont="1" applyFill="1" applyBorder="1"/>
    <xf numFmtId="43" fontId="0" fillId="4" borderId="0" xfId="1" applyFont="1" applyFill="1"/>
    <xf numFmtId="43" fontId="4" fillId="4" borderId="2" xfId="1" applyFont="1" applyFill="1" applyBorder="1"/>
    <xf numFmtId="43" fontId="5" fillId="4" borderId="3" xfId="1" applyFont="1" applyFill="1" applyBorder="1"/>
    <xf numFmtId="43" fontId="0" fillId="4" borderId="4" xfId="1" applyFont="1" applyFill="1" applyBorder="1"/>
    <xf numFmtId="43" fontId="3" fillId="9" borderId="2" xfId="1" applyFont="1" applyFill="1" applyBorder="1" applyAlignment="1">
      <alignment horizontal="center"/>
    </xf>
    <xf numFmtId="43" fontId="3" fillId="9" borderId="3" xfId="1" applyFont="1" applyFill="1" applyBorder="1" applyAlignment="1">
      <alignment horizontal="center"/>
    </xf>
    <xf numFmtId="43" fontId="3" fillId="9" borderId="4" xfId="1" applyFont="1" applyFill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0" xfId="1" applyFont="1" applyBorder="1"/>
    <xf numFmtId="43" fontId="5" fillId="0" borderId="0" xfId="1" applyFont="1" applyFill="1" applyBorder="1" applyAlignment="1">
      <alignment horizontal="center"/>
    </xf>
    <xf numFmtId="43" fontId="5" fillId="0" borderId="0" xfId="1" applyFont="1" applyFill="1" applyBorder="1"/>
    <xf numFmtId="43" fontId="6" fillId="7" borderId="0" xfId="1" applyFont="1" applyFill="1" applyBorder="1"/>
    <xf numFmtId="43" fontId="5" fillId="0" borderId="0" xfId="1" applyFont="1" applyBorder="1" applyAlignment="1">
      <alignment horizontal="center"/>
    </xf>
    <xf numFmtId="43" fontId="5" fillId="0" borderId="0" xfId="1" applyFont="1" applyBorder="1"/>
    <xf numFmtId="43" fontId="5" fillId="7" borderId="15" xfId="1" applyFont="1" applyFill="1" applyBorder="1" applyAlignment="1">
      <alignment horizontal="center"/>
    </xf>
    <xf numFmtId="14" fontId="5" fillId="0" borderId="16" xfId="1" applyNumberFormat="1" applyFont="1" applyFill="1" applyBorder="1" applyAlignment="1">
      <alignment horizontal="center" vertical="center"/>
    </xf>
    <xf numFmtId="164" fontId="5" fillId="0" borderId="17" xfId="1" applyNumberFormat="1" applyFont="1" applyFill="1" applyBorder="1" applyAlignment="1">
      <alignment horizontal="center"/>
    </xf>
    <xf numFmtId="43" fontId="5" fillId="0" borderId="17" xfId="1" applyFont="1" applyFill="1" applyBorder="1" applyAlignment="1">
      <alignment horizontal="center"/>
    </xf>
    <xf numFmtId="43" fontId="5" fillId="0" borderId="18" xfId="1" applyFont="1" applyFill="1" applyBorder="1" applyAlignment="1">
      <alignment horizontal="center"/>
    </xf>
    <xf numFmtId="14" fontId="5" fillId="0" borderId="19" xfId="1" applyNumberFormat="1" applyFont="1" applyFill="1" applyBorder="1" applyAlignment="1">
      <alignment horizontal="center" vertical="center"/>
    </xf>
    <xf numFmtId="164" fontId="5" fillId="0" borderId="0" xfId="1" applyNumberFormat="1" applyFont="1" applyFill="1" applyBorder="1" applyAlignment="1">
      <alignment horizontal="center"/>
    </xf>
    <xf numFmtId="43" fontId="5" fillId="0" borderId="11" xfId="1" applyFont="1" applyFill="1" applyBorder="1" applyAlignment="1">
      <alignment horizontal="center"/>
    </xf>
    <xf numFmtId="43" fontId="0" fillId="0" borderId="0" xfId="1" applyFont="1" applyBorder="1" applyAlignment="1">
      <alignment horizontal="left"/>
    </xf>
    <xf numFmtId="14" fontId="5" fillId="0" borderId="19" xfId="1" applyNumberFormat="1" applyFont="1" applyFill="1" applyBorder="1" applyAlignment="1">
      <alignment horizontal="center"/>
    </xf>
    <xf numFmtId="43" fontId="0" fillId="4" borderId="0" xfId="1" applyFont="1" applyFill="1" applyBorder="1"/>
    <xf numFmtId="43" fontId="0" fillId="0" borderId="7" xfId="1" applyFont="1" applyFill="1" applyBorder="1"/>
    <xf numFmtId="43" fontId="0" fillId="0" borderId="8" xfId="1" applyFont="1" applyFill="1" applyBorder="1"/>
    <xf numFmtId="43" fontId="0" fillId="4" borderId="5" xfId="1" applyFont="1" applyFill="1" applyBorder="1"/>
    <xf numFmtId="43" fontId="0" fillId="4" borderId="9" xfId="1" applyFont="1" applyFill="1" applyBorder="1"/>
    <xf numFmtId="43" fontId="0" fillId="4" borderId="5" xfId="1" applyFont="1" applyFill="1" applyBorder="1" applyAlignment="1">
      <alignment horizontal="center"/>
    </xf>
    <xf numFmtId="43" fontId="0" fillId="4" borderId="6" xfId="1" applyFont="1" applyFill="1" applyBorder="1"/>
    <xf numFmtId="43" fontId="0" fillId="10" borderId="0" xfId="1" applyFont="1" applyFill="1"/>
    <xf numFmtId="43" fontId="4" fillId="10" borderId="2" xfId="1" applyFont="1" applyFill="1" applyBorder="1"/>
    <xf numFmtId="43" fontId="5" fillId="10" borderId="3" xfId="1" applyFont="1" applyFill="1" applyBorder="1"/>
    <xf numFmtId="43" fontId="0" fillId="10" borderId="4" xfId="1" applyFont="1" applyFill="1" applyBorder="1"/>
    <xf numFmtId="43" fontId="3" fillId="10" borderId="2" xfId="1" applyFont="1" applyFill="1" applyBorder="1" applyAlignment="1">
      <alignment horizontal="center"/>
    </xf>
    <xf numFmtId="43" fontId="3" fillId="10" borderId="3" xfId="1" applyFont="1" applyFill="1" applyBorder="1" applyAlignment="1">
      <alignment horizontal="center"/>
    </xf>
    <xf numFmtId="43" fontId="3" fillId="10" borderId="4" xfId="1" applyFont="1" applyFill="1" applyBorder="1" applyAlignment="1">
      <alignment horizontal="center"/>
    </xf>
    <xf numFmtId="14" fontId="5" fillId="0" borderId="8" xfId="0" applyNumberFormat="1" applyFont="1" applyBorder="1" applyAlignment="1">
      <alignment horizontal="right" readingOrder="1"/>
    </xf>
    <xf numFmtId="14" fontId="5" fillId="9" borderId="19" xfId="1" applyNumberFormat="1" applyFont="1" applyFill="1" applyBorder="1" applyAlignment="1">
      <alignment horizontal="center" vertical="center"/>
    </xf>
    <xf numFmtId="164" fontId="5" fillId="9" borderId="0" xfId="1" applyNumberFormat="1" applyFont="1" applyFill="1" applyBorder="1" applyAlignment="1">
      <alignment horizontal="center"/>
    </xf>
    <xf numFmtId="43" fontId="5" fillId="9" borderId="0" xfId="1" applyFont="1" applyFill="1" applyBorder="1" applyAlignment="1">
      <alignment horizontal="center"/>
    </xf>
    <xf numFmtId="43" fontId="5" fillId="9" borderId="11" xfId="1" applyFont="1" applyFill="1" applyBorder="1" applyAlignment="1">
      <alignment horizontal="center"/>
    </xf>
    <xf numFmtId="43" fontId="5" fillId="0" borderId="19" xfId="1" applyFont="1" applyFill="1" applyBorder="1" applyAlignment="1">
      <alignment horizontal="center"/>
    </xf>
    <xf numFmtId="43" fontId="5" fillId="0" borderId="19" xfId="1" applyFont="1" applyFill="1" applyBorder="1" applyAlignment="1">
      <alignment horizontal="center" vertical="center"/>
    </xf>
    <xf numFmtId="43" fontId="5" fillId="0" borderId="0" xfId="1" applyFont="1" applyFill="1" applyBorder="1" applyAlignment="1">
      <alignment horizontal="center" vertical="center"/>
    </xf>
    <xf numFmtId="43" fontId="0" fillId="10" borderId="9" xfId="1" applyFont="1" applyFill="1" applyBorder="1"/>
    <xf numFmtId="43" fontId="0" fillId="10" borderId="5" xfId="1" applyFont="1" applyFill="1" applyBorder="1" applyAlignment="1">
      <alignment horizontal="center"/>
    </xf>
    <xf numFmtId="43" fontId="0" fillId="10" borderId="5" xfId="1" applyFont="1" applyFill="1" applyBorder="1"/>
    <xf numFmtId="43" fontId="0" fillId="10" borderId="6" xfId="1" applyFont="1" applyFill="1" applyBorder="1"/>
    <xf numFmtId="43" fontId="0" fillId="5" borderId="0" xfId="1" applyFont="1" applyFill="1"/>
    <xf numFmtId="43" fontId="4" fillId="5" borderId="2" xfId="1" applyFont="1" applyFill="1" applyBorder="1"/>
    <xf numFmtId="43" fontId="5" fillId="5" borderId="3" xfId="1" applyFont="1" applyFill="1" applyBorder="1"/>
    <xf numFmtId="43" fontId="0" fillId="5" borderId="4" xfId="1" applyFont="1" applyFill="1" applyBorder="1"/>
    <xf numFmtId="43" fontId="3" fillId="5" borderId="2" xfId="1" applyFont="1" applyFill="1" applyBorder="1" applyAlignment="1">
      <alignment horizontal="center"/>
    </xf>
    <xf numFmtId="43" fontId="3" fillId="5" borderId="3" xfId="1" applyFont="1" applyFill="1" applyBorder="1" applyAlignment="1">
      <alignment horizontal="center"/>
    </xf>
    <xf numFmtId="43" fontId="3" fillId="5" borderId="4" xfId="1" applyFont="1" applyFill="1" applyBorder="1" applyAlignment="1">
      <alignment horizontal="center"/>
    </xf>
    <xf numFmtId="14" fontId="5" fillId="11" borderId="19" xfId="1" applyNumberFormat="1" applyFont="1" applyFill="1" applyBorder="1" applyAlignment="1">
      <alignment horizontal="center" vertical="center"/>
    </xf>
    <xf numFmtId="164" fontId="5" fillId="11" borderId="0" xfId="1" applyNumberFormat="1" applyFont="1" applyFill="1" applyBorder="1" applyAlignment="1">
      <alignment horizontal="center"/>
    </xf>
    <xf numFmtId="43" fontId="5" fillId="11" borderId="0" xfId="1" applyFont="1" applyFill="1" applyBorder="1" applyAlignment="1">
      <alignment horizontal="center"/>
    </xf>
    <xf numFmtId="43" fontId="5" fillId="11" borderId="11" xfId="1" applyFont="1" applyFill="1" applyBorder="1" applyAlignment="1">
      <alignment horizontal="center"/>
    </xf>
    <xf numFmtId="43" fontId="0" fillId="0" borderId="0" xfId="0" applyNumberFormat="1" applyAlignment="1">
      <alignment readingOrder="1"/>
    </xf>
    <xf numFmtId="14" fontId="5" fillId="11" borderId="1" xfId="1" applyNumberFormat="1" applyFont="1" applyFill="1" applyBorder="1" applyAlignment="1">
      <alignment horizontal="center"/>
    </xf>
    <xf numFmtId="164" fontId="5" fillId="11" borderId="1" xfId="1" applyNumberFormat="1" applyFont="1" applyFill="1" applyBorder="1" applyAlignment="1">
      <alignment horizontal="center"/>
    </xf>
    <xf numFmtId="43" fontId="5" fillId="11" borderId="1" xfId="1" applyFont="1" applyFill="1" applyBorder="1" applyAlignment="1">
      <alignment horizontal="center"/>
    </xf>
    <xf numFmtId="14" fontId="5" fillId="11" borderId="19" xfId="1" applyNumberFormat="1" applyFont="1" applyFill="1" applyBorder="1" applyAlignment="1">
      <alignment horizontal="center"/>
    </xf>
    <xf numFmtId="43" fontId="0" fillId="5" borderId="9" xfId="1" applyFont="1" applyFill="1" applyBorder="1"/>
    <xf numFmtId="43" fontId="0" fillId="5" borderId="5" xfId="1" applyFont="1" applyFill="1" applyBorder="1" applyAlignment="1">
      <alignment horizontal="center"/>
    </xf>
    <xf numFmtId="43" fontId="0" fillId="5" borderId="5" xfId="1" applyFont="1" applyFill="1" applyBorder="1"/>
    <xf numFmtId="43" fontId="0" fillId="5" borderId="6" xfId="1" applyFont="1" applyFill="1" applyBorder="1"/>
    <xf numFmtId="43" fontId="0" fillId="0" borderId="9" xfId="1" applyFont="1" applyBorder="1" applyAlignment="1">
      <alignment horizontal="center"/>
    </xf>
    <xf numFmtId="43" fontId="0" fillId="9" borderId="0" xfId="1" applyFont="1" applyFill="1"/>
    <xf numFmtId="164" fontId="5" fillId="12" borderId="0" xfId="1" applyNumberFormat="1" applyFont="1" applyFill="1" applyBorder="1" applyAlignment="1">
      <alignment horizontal="center"/>
    </xf>
    <xf numFmtId="43" fontId="5" fillId="12" borderId="0" xfId="1" applyFont="1" applyFill="1" applyBorder="1" applyAlignment="1">
      <alignment horizontal="center"/>
    </xf>
    <xf numFmtId="43" fontId="5" fillId="12" borderId="11" xfId="1" applyFont="1" applyFill="1" applyBorder="1" applyAlignment="1">
      <alignment horizontal="center"/>
    </xf>
    <xf numFmtId="43" fontId="0" fillId="13" borderId="0" xfId="1" applyFont="1" applyFill="1"/>
    <xf numFmtId="43" fontId="4" fillId="13" borderId="2" xfId="1" applyFont="1" applyFill="1" applyBorder="1"/>
    <xf numFmtId="14" fontId="4" fillId="13" borderId="3" xfId="1" applyNumberFormat="1" applyFont="1" applyFill="1" applyBorder="1" applyAlignment="1">
      <alignment horizontal="center"/>
    </xf>
    <xf numFmtId="43" fontId="5" fillId="13" borderId="3" xfId="1" applyFont="1" applyFill="1" applyBorder="1"/>
    <xf numFmtId="43" fontId="0" fillId="13" borderId="4" xfId="1" applyFont="1" applyFill="1" applyBorder="1"/>
    <xf numFmtId="14" fontId="5" fillId="9" borderId="1" xfId="1" applyNumberFormat="1" applyFont="1" applyFill="1" applyBorder="1" applyAlignment="1">
      <alignment horizontal="center" vertical="center"/>
    </xf>
    <xf numFmtId="164" fontId="5" fillId="9" borderId="1" xfId="1" applyNumberFormat="1" applyFont="1" applyFill="1" applyBorder="1" applyAlignment="1">
      <alignment horizontal="center"/>
    </xf>
    <xf numFmtId="43" fontId="5" fillId="9" borderId="1" xfId="1" applyFont="1" applyFill="1" applyBorder="1" applyAlignment="1">
      <alignment horizontal="center"/>
    </xf>
    <xf numFmtId="14" fontId="5" fillId="0" borderId="7" xfId="1" applyNumberFormat="1" applyFont="1" applyBorder="1"/>
    <xf numFmtId="14" fontId="5" fillId="9" borderId="1" xfId="1" applyNumberFormat="1" applyFont="1" applyFill="1" applyBorder="1" applyAlignment="1">
      <alignment horizontal="center"/>
    </xf>
    <xf numFmtId="14" fontId="5" fillId="12" borderId="19" xfId="1" applyNumberFormat="1" applyFont="1" applyFill="1" applyBorder="1" applyAlignment="1">
      <alignment horizontal="center"/>
    </xf>
    <xf numFmtId="14" fontId="5" fillId="0" borderId="19" xfId="1" applyNumberFormat="1" applyFont="1" applyBorder="1" applyAlignment="1">
      <alignment horizontal="center"/>
    </xf>
    <xf numFmtId="164" fontId="5" fillId="0" borderId="0" xfId="1" applyNumberFormat="1" applyFont="1" applyBorder="1" applyAlignment="1">
      <alignment horizontal="center"/>
    </xf>
    <xf numFmtId="43" fontId="5" fillId="0" borderId="11" xfId="1" applyFont="1" applyBorder="1" applyAlignment="1">
      <alignment horizontal="center"/>
    </xf>
    <xf numFmtId="43" fontId="0" fillId="13" borderId="0" xfId="1" applyFont="1" applyFill="1" applyBorder="1"/>
    <xf numFmtId="43" fontId="0" fillId="13" borderId="5" xfId="1" applyFont="1" applyFill="1" applyBorder="1"/>
    <xf numFmtId="43" fontId="0" fillId="13" borderId="9" xfId="1" applyFont="1" applyFill="1" applyBorder="1"/>
    <xf numFmtId="43" fontId="0" fillId="13" borderId="5" xfId="1" applyFont="1" applyFill="1" applyBorder="1" applyAlignment="1">
      <alignment horizontal="center"/>
    </xf>
    <xf numFmtId="43" fontId="0" fillId="13" borderId="6" xfId="1" applyFont="1" applyFill="1" applyBorder="1"/>
    <xf numFmtId="43" fontId="0" fillId="13" borderId="0" xfId="1" applyFont="1" applyFill="1" applyBorder="1" applyAlignment="1">
      <alignment horizontal="center"/>
    </xf>
    <xf numFmtId="43" fontId="0" fillId="14" borderId="0" xfId="1" applyFont="1" applyFill="1"/>
    <xf numFmtId="43" fontId="4" fillId="14" borderId="2" xfId="1" applyFont="1" applyFill="1" applyBorder="1"/>
    <xf numFmtId="43" fontId="5" fillId="15" borderId="3" xfId="1" applyFont="1" applyFill="1" applyBorder="1"/>
    <xf numFmtId="43" fontId="0" fillId="15" borderId="4" xfId="1" applyFont="1" applyFill="1" applyBorder="1"/>
    <xf numFmtId="43" fontId="3" fillId="14" borderId="2" xfId="1" applyFont="1" applyFill="1" applyBorder="1" applyAlignment="1">
      <alignment horizontal="center"/>
    </xf>
    <xf numFmtId="43" fontId="3" fillId="14" borderId="3" xfId="1" applyFont="1" applyFill="1" applyBorder="1" applyAlignment="1">
      <alignment horizontal="center"/>
    </xf>
    <xf numFmtId="43" fontId="3" fillId="14" borderId="4" xfId="1" applyFont="1" applyFill="1" applyBorder="1" applyAlignment="1">
      <alignment horizontal="center"/>
    </xf>
    <xf numFmtId="43" fontId="5" fillId="15" borderId="7" xfId="1" applyFont="1" applyFill="1" applyBorder="1"/>
    <xf numFmtId="43" fontId="5" fillId="15" borderId="0" xfId="1" applyFont="1" applyFill="1" applyBorder="1" applyAlignment="1">
      <alignment horizontal="center"/>
    </xf>
    <xf numFmtId="43" fontId="0" fillId="14" borderId="9" xfId="1" applyFont="1" applyFill="1" applyBorder="1"/>
    <xf numFmtId="43" fontId="0" fillId="14" borderId="5" xfId="1" applyFont="1" applyFill="1" applyBorder="1" applyAlignment="1">
      <alignment horizontal="center"/>
    </xf>
    <xf numFmtId="43" fontId="0" fillId="14" borderId="5" xfId="1" applyFont="1" applyFill="1" applyBorder="1"/>
    <xf numFmtId="43" fontId="0" fillId="14" borderId="6" xfId="1" applyFont="1" applyFill="1" applyBorder="1"/>
    <xf numFmtId="14" fontId="5" fillId="12" borderId="23" xfId="1" applyNumberFormat="1" applyFont="1" applyFill="1" applyBorder="1" applyAlignment="1">
      <alignment horizontal="center"/>
    </xf>
    <xf numFmtId="164" fontId="5" fillId="12" borderId="23" xfId="1" applyNumberFormat="1" applyFont="1" applyFill="1" applyBorder="1" applyAlignment="1">
      <alignment horizontal="center"/>
    </xf>
    <xf numFmtId="43" fontId="5" fillId="12" borderId="0" xfId="1" applyFont="1" applyFill="1" applyAlignment="1">
      <alignment horizontal="center"/>
    </xf>
    <xf numFmtId="14" fontId="5" fillId="12" borderId="1" xfId="1" applyNumberFormat="1" applyFont="1" applyFill="1" applyBorder="1" applyAlignment="1">
      <alignment horizontal="center"/>
    </xf>
    <xf numFmtId="164" fontId="5" fillId="12" borderId="1" xfId="1" applyNumberFormat="1" applyFont="1" applyFill="1" applyBorder="1" applyAlignment="1">
      <alignment horizontal="center"/>
    </xf>
    <xf numFmtId="164" fontId="5" fillId="0" borderId="0" xfId="1" applyNumberFormat="1" applyFont="1" applyAlignment="1">
      <alignment horizontal="center"/>
    </xf>
    <xf numFmtId="43" fontId="5" fillId="16" borderId="7" xfId="1" applyFont="1" applyFill="1" applyBorder="1" applyAlignment="1">
      <alignment horizontal="right"/>
    </xf>
    <xf numFmtId="43" fontId="5" fillId="16" borderId="0" xfId="1" applyFont="1" applyFill="1" applyBorder="1" applyAlignment="1">
      <alignment horizontal="center"/>
    </xf>
    <xf numFmtId="43" fontId="5" fillId="16" borderId="11" xfId="1" applyFont="1" applyFill="1" applyBorder="1" applyAlignment="1">
      <alignment horizontal="right"/>
    </xf>
    <xf numFmtId="14" fontId="5" fillId="16" borderId="1" xfId="1" applyNumberFormat="1" applyFont="1" applyFill="1" applyBorder="1" applyAlignment="1">
      <alignment horizontal="center" vertical="center"/>
    </xf>
    <xf numFmtId="164" fontId="5" fillId="16" borderId="1" xfId="1" applyNumberFormat="1" applyFont="1" applyFill="1" applyBorder="1" applyAlignment="1">
      <alignment horizontal="center"/>
    </xf>
    <xf numFmtId="43" fontId="5" fillId="16" borderId="1" xfId="1" applyFont="1" applyFill="1" applyBorder="1" applyAlignment="1">
      <alignment horizontal="center"/>
    </xf>
    <xf numFmtId="43" fontId="5" fillId="16" borderId="7" xfId="1" applyFont="1" applyFill="1" applyBorder="1"/>
    <xf numFmtId="43" fontId="5" fillId="16" borderId="19" xfId="1" applyFont="1" applyFill="1" applyBorder="1" applyAlignment="1">
      <alignment horizontal="center" vertical="center"/>
    </xf>
    <xf numFmtId="164" fontId="5" fillId="16" borderId="0" xfId="1" applyNumberFormat="1" applyFont="1" applyFill="1" applyAlignment="1">
      <alignment horizontal="center"/>
    </xf>
    <xf numFmtId="43" fontId="5" fillId="16" borderId="0" xfId="1" applyFont="1" applyFill="1" applyAlignment="1">
      <alignment horizontal="center"/>
    </xf>
    <xf numFmtId="43" fontId="5" fillId="16" borderId="11" xfId="1" applyFont="1" applyFill="1" applyBorder="1" applyAlignment="1">
      <alignment horizontal="center"/>
    </xf>
    <xf numFmtId="14" fontId="5" fillId="16" borderId="7" xfId="1" applyNumberFormat="1" applyFont="1" applyFill="1" applyBorder="1" applyAlignment="1">
      <alignment horizontal="right"/>
    </xf>
    <xf numFmtId="43" fontId="0" fillId="3" borderId="0" xfId="1" applyFont="1" applyFill="1" applyBorder="1" applyAlignment="1">
      <alignment horizontal="center"/>
    </xf>
    <xf numFmtId="43" fontId="0" fillId="3" borderId="0" xfId="1" applyFont="1" applyFill="1" applyBorder="1"/>
    <xf numFmtId="14" fontId="4" fillId="14" borderId="3" xfId="1" applyNumberFormat="1" applyFont="1" applyFill="1" applyBorder="1" applyAlignment="1">
      <alignment horizontal="center"/>
    </xf>
    <xf numFmtId="164" fontId="5" fillId="9" borderId="1" xfId="1" applyNumberFormat="1" applyFont="1" applyFill="1" applyBorder="1" applyAlignment="1">
      <alignment horizontal="center" vertical="center"/>
    </xf>
    <xf numFmtId="43" fontId="5" fillId="9" borderId="1" xfId="1" applyFont="1" applyFill="1" applyBorder="1" applyAlignment="1">
      <alignment horizontal="left" vertical="center"/>
    </xf>
    <xf numFmtId="43" fontId="5" fillId="9" borderId="1" xfId="1" applyFont="1" applyFill="1" applyBorder="1" applyAlignment="1">
      <alignment horizontal="center" vertical="center"/>
    </xf>
    <xf numFmtId="14" fontId="5" fillId="12" borderId="22" xfId="1" applyNumberFormat="1" applyFont="1" applyFill="1" applyBorder="1" applyAlignment="1">
      <alignment horizontal="center"/>
    </xf>
    <xf numFmtId="164" fontId="5" fillId="12" borderId="22" xfId="1" applyNumberFormat="1" applyFont="1" applyFill="1" applyBorder="1" applyAlignment="1">
      <alignment horizontal="center" vertical="center"/>
    </xf>
    <xf numFmtId="43" fontId="5" fillId="12" borderId="24" xfId="1" applyFont="1" applyFill="1" applyBorder="1" applyAlignment="1">
      <alignment horizontal="center" vertical="center"/>
    </xf>
    <xf numFmtId="43" fontId="5" fillId="12" borderId="22" xfId="1" applyFont="1" applyFill="1" applyBorder="1" applyAlignment="1">
      <alignment horizontal="center" vertical="center"/>
    </xf>
    <xf numFmtId="43" fontId="5" fillId="12" borderId="22" xfId="1" applyFont="1" applyFill="1" applyBorder="1" applyAlignment="1">
      <alignment horizontal="center"/>
    </xf>
    <xf numFmtId="14" fontId="5" fillId="12" borderId="20" xfId="1" applyNumberFormat="1" applyFont="1" applyFill="1" applyBorder="1" applyAlignment="1">
      <alignment horizontal="center"/>
    </xf>
    <xf numFmtId="164" fontId="5" fillId="12" borderId="20" xfId="1" applyNumberFormat="1" applyFont="1" applyFill="1" applyBorder="1" applyAlignment="1">
      <alignment horizontal="center" vertical="center"/>
    </xf>
    <xf numFmtId="43" fontId="5" fillId="12" borderId="21" xfId="1" applyFont="1" applyFill="1" applyBorder="1" applyAlignment="1">
      <alignment horizontal="center" vertical="center"/>
    </xf>
    <xf numFmtId="43" fontId="5" fillId="12" borderId="20" xfId="1" applyFont="1" applyFill="1" applyBorder="1" applyAlignment="1">
      <alignment horizontal="center" vertical="center"/>
    </xf>
    <xf numFmtId="43" fontId="5" fillId="12" borderId="20" xfId="1" applyFont="1" applyFill="1" applyBorder="1" applyAlignment="1">
      <alignment horizontal="center"/>
    </xf>
    <xf numFmtId="0" fontId="8" fillId="0" borderId="0" xfId="0" applyFont="1" applyAlignment="1">
      <alignment readingOrder="1"/>
    </xf>
    <xf numFmtId="43" fontId="5" fillId="9" borderId="11" xfId="1" applyFont="1" applyFill="1" applyBorder="1" applyAlignment="1">
      <alignment horizontal="right"/>
    </xf>
    <xf numFmtId="43" fontId="5" fillId="9" borderId="7" xfId="1" applyFont="1" applyFill="1" applyBorder="1"/>
    <xf numFmtId="164" fontId="5" fillId="12" borderId="0" xfId="1" applyNumberFormat="1" applyFont="1" applyFill="1" applyAlignment="1">
      <alignment horizontal="center"/>
    </xf>
    <xf numFmtId="43" fontId="0" fillId="17" borderId="1" xfId="1" applyFont="1" applyFill="1" applyBorder="1"/>
    <xf numFmtId="43" fontId="0" fillId="17" borderId="1" xfId="1" applyFont="1" applyFill="1" applyBorder="1" applyAlignment="1">
      <alignment horizontal="center"/>
    </xf>
    <xf numFmtId="0" fontId="9" fillId="0" borderId="0" xfId="0" applyFont="1"/>
    <xf numFmtId="43" fontId="5" fillId="12" borderId="0" xfId="1" applyFont="1" applyFill="1" applyBorder="1" applyAlignment="1">
      <alignment horizontal="center" vertical="center"/>
    </xf>
    <xf numFmtId="164" fontId="5" fillId="11" borderId="0" xfId="1" applyNumberFormat="1" applyFont="1" applyFill="1" applyAlignment="1">
      <alignment horizontal="center"/>
    </xf>
    <xf numFmtId="43" fontId="5" fillId="11" borderId="0" xfId="1" applyFont="1" applyFill="1" applyAlignment="1">
      <alignment horizontal="center"/>
    </xf>
    <xf numFmtId="14" fontId="5" fillId="11" borderId="1" xfId="1" applyNumberFormat="1" applyFont="1" applyFill="1" applyBorder="1" applyAlignment="1">
      <alignment horizontal="center" vertical="center"/>
    </xf>
    <xf numFmtId="43" fontId="5" fillId="6" borderId="0" xfId="1" applyFont="1" applyFill="1" applyBorder="1"/>
    <xf numFmtId="43" fontId="5" fillId="0" borderId="0" xfId="1" applyFont="1" applyFill="1" applyBorder="1" applyAlignment="1">
      <alignment horizontal="right"/>
    </xf>
    <xf numFmtId="43" fontId="5" fillId="0" borderId="0" xfId="1" applyFont="1" applyBorder="1" applyAlignment="1">
      <alignment horizontal="right"/>
    </xf>
    <xf numFmtId="43" fontId="5" fillId="16" borderId="0" xfId="1" applyFont="1" applyFill="1" applyBorder="1" applyAlignment="1">
      <alignment horizontal="right"/>
    </xf>
    <xf numFmtId="43" fontId="5" fillId="9" borderId="0" xfId="1" applyFont="1" applyFill="1" applyBorder="1" applyAlignment="1">
      <alignment horizontal="right"/>
    </xf>
    <xf numFmtId="43" fontId="4" fillId="18" borderId="3" xfId="1" applyFont="1" applyFill="1" applyBorder="1" applyAlignment="1">
      <alignment horizontal="center"/>
    </xf>
    <xf numFmtId="14" fontId="4" fillId="18" borderId="3" xfId="1" applyNumberFormat="1" applyFont="1" applyFill="1" applyBorder="1" applyAlignment="1">
      <alignment horizontal="center"/>
    </xf>
    <xf numFmtId="43" fontId="5" fillId="18" borderId="3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llercentral.amazon.com/awd/inbound-shipment/STAR-UDWNA7YEN3VF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E3B2-3C16-9942-8C8F-6236ED295FDB}">
  <dimension ref="A3:Q395"/>
  <sheetViews>
    <sheetView rightToLeft="1" tabSelected="1" topLeftCell="A282" zoomScale="77" zoomScaleNormal="77" workbookViewId="0">
      <selection activeCell="C294" sqref="C294"/>
    </sheetView>
  </sheetViews>
  <sheetFormatPr baseColWidth="10" defaultColWidth="10.83203125" defaultRowHeight="14"/>
  <cols>
    <col min="1" max="1" width="61.33203125" style="1" customWidth="1"/>
    <col min="2" max="2" width="49.33203125" style="1" customWidth="1"/>
    <col min="3" max="3" width="32.83203125" style="21" customWidth="1"/>
    <col min="4" max="4" width="26.83203125" style="21" customWidth="1"/>
    <col min="5" max="6" width="18.33203125" style="1" customWidth="1"/>
    <col min="7" max="7" width="31" style="1" customWidth="1"/>
    <col min="8" max="8" width="23.33203125" style="1" customWidth="1"/>
    <col min="9" max="9" width="28.83203125" style="1" bestFit="1" customWidth="1"/>
    <col min="10" max="10" width="14.6640625" style="1" customWidth="1"/>
    <col min="11" max="11" width="20.6640625" style="1" customWidth="1"/>
    <col min="12" max="12" width="19.33203125" style="1" customWidth="1"/>
    <col min="13" max="14" width="19.6640625" style="1" customWidth="1"/>
    <col min="15" max="15" width="25.1640625" style="1" customWidth="1"/>
    <col min="16" max="16" width="18.5" style="1" customWidth="1"/>
    <col min="17" max="17" width="10.83203125" style="1"/>
    <col min="18" max="18" width="13.1640625" style="1" customWidth="1"/>
    <col min="19" max="21" width="10.83203125" style="1"/>
    <col min="22" max="22" width="14.6640625" style="1" customWidth="1"/>
    <col min="23" max="25" width="10.83203125" style="1"/>
    <col min="26" max="26" width="15.1640625" style="1" bestFit="1" customWidth="1"/>
    <col min="27" max="28" width="10.83203125" style="1"/>
    <col min="29" max="29" width="21.6640625" style="1" customWidth="1"/>
    <col min="30" max="16384" width="10.83203125" style="1"/>
  </cols>
  <sheetData>
    <row r="3" spans="1:15" ht="35">
      <c r="A3" s="123"/>
      <c r="B3" s="124" t="s">
        <v>44</v>
      </c>
      <c r="C3" s="12" t="s">
        <v>13</v>
      </c>
      <c r="D3" s="12"/>
      <c r="E3" s="233"/>
      <c r="F3" s="125"/>
      <c r="G3" s="125"/>
      <c r="H3" s="125"/>
      <c r="I3" s="125"/>
      <c r="J3" s="125"/>
      <c r="K3" s="125"/>
      <c r="L3" s="125"/>
      <c r="M3" s="125"/>
      <c r="N3" s="125"/>
      <c r="O3" s="126"/>
    </row>
    <row r="4" spans="1:15">
      <c r="A4" s="123"/>
      <c r="B4" s="20"/>
      <c r="C4" s="80"/>
      <c r="D4" s="80"/>
      <c r="E4" s="81"/>
      <c r="F4" s="81"/>
      <c r="G4" s="81"/>
      <c r="H4" s="81"/>
      <c r="I4" s="81"/>
      <c r="J4" s="81"/>
      <c r="K4" s="81"/>
      <c r="L4" s="81"/>
      <c r="M4" s="81"/>
      <c r="N4" s="81"/>
      <c r="O4" s="22"/>
    </row>
    <row r="5" spans="1:15" ht="15" thickBot="1">
      <c r="A5" s="123"/>
      <c r="B5" s="20"/>
      <c r="C5" s="80"/>
      <c r="D5" s="80"/>
      <c r="E5" s="81"/>
      <c r="F5" s="81"/>
      <c r="G5" s="81"/>
      <c r="H5" s="81"/>
      <c r="I5" s="81"/>
      <c r="J5" s="81"/>
      <c r="K5" s="81"/>
      <c r="L5" s="81"/>
      <c r="M5" s="81"/>
      <c r="N5" s="81"/>
      <c r="O5" s="22"/>
    </row>
    <row r="6" spans="1:15" ht="19" thickBot="1">
      <c r="A6" s="123"/>
      <c r="B6" s="127" t="s">
        <v>0</v>
      </c>
      <c r="C6" s="128" t="s">
        <v>1</v>
      </c>
      <c r="D6" s="128"/>
      <c r="E6" s="128" t="s">
        <v>2</v>
      </c>
      <c r="F6" s="128"/>
      <c r="G6" s="128" t="s">
        <v>3</v>
      </c>
      <c r="H6" s="128" t="s">
        <v>4</v>
      </c>
      <c r="I6" s="128" t="s">
        <v>5</v>
      </c>
      <c r="J6" s="128"/>
      <c r="K6" s="128" t="s">
        <v>6</v>
      </c>
      <c r="L6" s="128" t="s">
        <v>7</v>
      </c>
      <c r="M6" s="128" t="s">
        <v>8</v>
      </c>
      <c r="N6" s="128" t="s">
        <v>9</v>
      </c>
      <c r="O6" s="129" t="s">
        <v>10</v>
      </c>
    </row>
    <row r="7" spans="1:15" ht="36" thickBot="1">
      <c r="A7" s="123"/>
      <c r="B7" s="12" t="s">
        <v>13</v>
      </c>
      <c r="C7" s="8">
        <v>2256</v>
      </c>
      <c r="D7" s="8"/>
      <c r="E7" s="8">
        <v>29237.759999999998</v>
      </c>
      <c r="F7" s="8"/>
      <c r="G7" s="8">
        <f>E7/C7</f>
        <v>12.959999999999999</v>
      </c>
      <c r="H7" s="8" t="e">
        <f>#REF!</f>
        <v>#REF!</v>
      </c>
      <c r="I7" s="8" t="e">
        <f>C7-H7</f>
        <v>#REF!</v>
      </c>
      <c r="J7" s="8"/>
      <c r="K7" s="8" t="e">
        <f>#REF!</f>
        <v>#REF!</v>
      </c>
      <c r="L7" s="8" t="e">
        <f>#REF!</f>
        <v>#REF!</v>
      </c>
      <c r="M7" s="8" t="e">
        <f>K7-L7</f>
        <v>#REF!</v>
      </c>
      <c r="N7" s="8"/>
      <c r="O7" s="9" t="e">
        <f>G7+#REF!</f>
        <v>#REF!</v>
      </c>
    </row>
    <row r="8" spans="1:15">
      <c r="A8" s="123"/>
      <c r="B8" s="20"/>
      <c r="C8" s="80"/>
      <c r="D8" s="80"/>
      <c r="E8" s="81"/>
      <c r="F8" s="81"/>
      <c r="G8" s="81"/>
      <c r="H8" s="81"/>
      <c r="I8" s="81"/>
      <c r="J8" s="81"/>
      <c r="K8" s="81"/>
      <c r="L8" s="81"/>
      <c r="M8" s="81"/>
      <c r="N8" s="81"/>
      <c r="O8" s="22"/>
    </row>
    <row r="9" spans="1:15">
      <c r="A9" s="123"/>
      <c r="B9" s="20"/>
      <c r="C9" s="80"/>
      <c r="D9" s="80"/>
      <c r="E9" s="81"/>
      <c r="F9" s="81"/>
      <c r="G9" s="81"/>
      <c r="H9" s="81"/>
      <c r="I9" s="81"/>
      <c r="J9" s="81"/>
      <c r="K9" s="81"/>
      <c r="L9" s="81"/>
      <c r="M9" s="81"/>
      <c r="N9" s="81"/>
      <c r="O9" s="22"/>
    </row>
    <row r="10" spans="1:15">
      <c r="A10" s="123"/>
      <c r="B10" s="20"/>
      <c r="C10" s="80"/>
      <c r="D10" s="80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22"/>
    </row>
    <row r="11" spans="1:15" ht="20">
      <c r="A11" s="123"/>
      <c r="B11" s="24" t="s">
        <v>16</v>
      </c>
      <c r="C11" s="82"/>
      <c r="D11" s="82"/>
      <c r="E11" s="83"/>
      <c r="F11" s="83"/>
      <c r="G11" s="81"/>
      <c r="H11" s="84" t="s">
        <v>17</v>
      </c>
      <c r="I11" s="85"/>
      <c r="J11" s="85"/>
      <c r="K11" s="86"/>
      <c r="L11" s="86"/>
      <c r="M11" s="86"/>
      <c r="N11" s="86"/>
      <c r="O11" s="22"/>
    </row>
    <row r="12" spans="1:15" ht="20">
      <c r="A12" s="123"/>
      <c r="B12" s="28" t="s">
        <v>18</v>
      </c>
      <c r="C12" s="29" t="s">
        <v>19</v>
      </c>
      <c r="D12" s="29" t="s">
        <v>20</v>
      </c>
      <c r="E12" s="30" t="s">
        <v>21</v>
      </c>
      <c r="F12" s="226"/>
      <c r="G12" s="31" t="s">
        <v>131</v>
      </c>
      <c r="H12" s="31" t="s">
        <v>18</v>
      </c>
      <c r="I12" s="31" t="s">
        <v>1</v>
      </c>
      <c r="J12" s="31" t="s">
        <v>22</v>
      </c>
      <c r="K12" s="31" t="s">
        <v>2</v>
      </c>
      <c r="L12" s="31" t="s">
        <v>23</v>
      </c>
      <c r="M12" s="31" t="s">
        <v>24</v>
      </c>
      <c r="N12" s="31" t="s">
        <v>9</v>
      </c>
      <c r="O12" s="31" t="s">
        <v>25</v>
      </c>
    </row>
    <row r="13" spans="1:15" ht="20">
      <c r="A13" s="123"/>
      <c r="B13" s="62" t="s">
        <v>13</v>
      </c>
      <c r="C13" s="114">
        <v>8771.33</v>
      </c>
      <c r="D13" s="114">
        <v>79.66</v>
      </c>
      <c r="E13" s="61" t="s">
        <v>28</v>
      </c>
      <c r="F13" s="228"/>
      <c r="G13" s="81" t="s">
        <v>45</v>
      </c>
      <c r="H13" s="130">
        <v>45822</v>
      </c>
      <c r="I13" s="131">
        <v>72</v>
      </c>
      <c r="J13" s="132">
        <v>2.38</v>
      </c>
      <c r="K13" s="132">
        <v>192.78</v>
      </c>
      <c r="L13" s="132">
        <v>192.78</v>
      </c>
      <c r="M13" s="133"/>
      <c r="N13" s="133"/>
      <c r="O13" s="133">
        <f>IF(K13&gt;0,(K13+N13)/I13,0)</f>
        <v>2.6775000000000002</v>
      </c>
    </row>
    <row r="14" spans="1:15" ht="20">
      <c r="A14" s="123"/>
      <c r="B14" s="59">
        <v>45827</v>
      </c>
      <c r="C14" s="114">
        <v>20466.43</v>
      </c>
      <c r="D14" s="114">
        <v>189.14</v>
      </c>
      <c r="E14" s="61" t="s">
        <v>30</v>
      </c>
      <c r="F14" s="228"/>
      <c r="G14" s="81" t="s">
        <v>46</v>
      </c>
      <c r="H14" s="130">
        <v>45822</v>
      </c>
      <c r="I14" s="131">
        <v>168</v>
      </c>
      <c r="J14" s="132">
        <v>1.97</v>
      </c>
      <c r="K14" s="132">
        <v>372.33</v>
      </c>
      <c r="L14" s="132">
        <v>372.33</v>
      </c>
      <c r="M14" s="133"/>
      <c r="N14" s="133"/>
      <c r="O14" s="133">
        <f t="shared" ref="O14:O34" si="0">IF(K14&gt;0,(K14+N14)/I14,0)</f>
        <v>2.2162500000000001</v>
      </c>
    </row>
    <row r="15" spans="1:15" ht="20">
      <c r="A15" s="123"/>
      <c r="F15" s="228"/>
      <c r="G15" s="81" t="s">
        <v>47</v>
      </c>
      <c r="H15" s="130">
        <v>45822</v>
      </c>
      <c r="I15" s="131">
        <v>156</v>
      </c>
      <c r="J15" s="132">
        <v>1.97</v>
      </c>
      <c r="K15" s="132">
        <v>344.75</v>
      </c>
      <c r="L15" s="132">
        <v>344.75</v>
      </c>
      <c r="M15" s="133"/>
      <c r="N15" s="133"/>
      <c r="O15" s="133">
        <f t="shared" si="0"/>
        <v>2.2099358974358974</v>
      </c>
    </row>
    <row r="16" spans="1:15" ht="20">
      <c r="A16" s="123"/>
      <c r="B16" s="63"/>
      <c r="C16" s="85"/>
      <c r="D16" s="85"/>
      <c r="E16" s="61"/>
      <c r="F16" s="228"/>
      <c r="G16" s="81" t="s">
        <v>48</v>
      </c>
      <c r="H16" s="130">
        <v>45822</v>
      </c>
      <c r="I16" s="131">
        <v>132</v>
      </c>
      <c r="J16" s="132">
        <v>1.69</v>
      </c>
      <c r="K16" s="132">
        <v>250.12</v>
      </c>
      <c r="L16" s="132">
        <v>250.12</v>
      </c>
      <c r="M16" s="133"/>
      <c r="N16" s="133"/>
      <c r="O16" s="133">
        <f t="shared" si="0"/>
        <v>1.8948484848484848</v>
      </c>
    </row>
    <row r="17" spans="1:15" ht="20">
      <c r="A17" s="123"/>
      <c r="B17" s="64"/>
      <c r="C17" s="85"/>
      <c r="D17" s="85"/>
      <c r="E17" s="61"/>
      <c r="F17" s="228"/>
      <c r="G17" s="81" t="s">
        <v>49</v>
      </c>
      <c r="H17" s="130">
        <v>45822</v>
      </c>
      <c r="I17" s="131">
        <v>216</v>
      </c>
      <c r="J17" s="132">
        <v>1.69</v>
      </c>
      <c r="K17" s="132">
        <v>408.98</v>
      </c>
      <c r="L17" s="132">
        <v>408.98</v>
      </c>
      <c r="M17" s="133"/>
      <c r="N17" s="133"/>
      <c r="O17" s="133">
        <f t="shared" si="0"/>
        <v>1.8934259259259261</v>
      </c>
    </row>
    <row r="18" spans="1:15" ht="20">
      <c r="A18" s="123"/>
      <c r="B18" s="41"/>
      <c r="C18" s="42"/>
      <c r="D18" s="42"/>
      <c r="E18" s="43"/>
      <c r="F18" s="86"/>
      <c r="G18" s="134" t="s">
        <v>50</v>
      </c>
      <c r="H18" s="135">
        <v>45870</v>
      </c>
      <c r="I18" s="136">
        <v>300</v>
      </c>
      <c r="J18" s="137">
        <v>1.7</v>
      </c>
      <c r="K18" s="137">
        <v>671.5</v>
      </c>
      <c r="L18" s="137">
        <v>671.5</v>
      </c>
      <c r="M18" s="137"/>
      <c r="N18" s="137"/>
      <c r="O18" s="137">
        <f t="shared" si="0"/>
        <v>2.2383333333333333</v>
      </c>
    </row>
    <row r="19" spans="1:15" ht="20">
      <c r="A19" s="123"/>
      <c r="B19" s="45"/>
      <c r="C19" s="81"/>
      <c r="D19" s="81"/>
      <c r="E19" s="81"/>
      <c r="F19" s="81"/>
      <c r="G19" s="65" t="s">
        <v>51</v>
      </c>
      <c r="H19" s="135">
        <v>45877</v>
      </c>
      <c r="I19" s="136">
        <v>240</v>
      </c>
      <c r="J19" s="137">
        <v>1.7</v>
      </c>
      <c r="K19" s="137">
        <v>558.23299999999995</v>
      </c>
      <c r="L19" s="137">
        <v>558.23299999999995</v>
      </c>
      <c r="M19" s="137"/>
      <c r="N19" s="137"/>
      <c r="O19" s="137">
        <f t="shared" si="0"/>
        <v>2.3259708333333333</v>
      </c>
    </row>
    <row r="20" spans="1:15" ht="20">
      <c r="A20" s="123"/>
      <c r="B20" s="45"/>
      <c r="C20" s="81"/>
      <c r="D20" s="81"/>
      <c r="E20" s="81"/>
      <c r="F20" s="81"/>
      <c r="G20" s="81" t="s">
        <v>52</v>
      </c>
      <c r="H20" s="138">
        <v>45938</v>
      </c>
      <c r="I20" s="131">
        <v>36</v>
      </c>
      <c r="J20" s="132">
        <v>1.69</v>
      </c>
      <c r="K20" s="132">
        <v>76.61</v>
      </c>
      <c r="L20" s="132">
        <v>76.61</v>
      </c>
      <c r="M20" s="133"/>
      <c r="N20" s="132"/>
      <c r="O20" s="133">
        <f t="shared" si="0"/>
        <v>2.1280555555555556</v>
      </c>
    </row>
    <row r="21" spans="1:15" ht="20">
      <c r="A21" s="123"/>
      <c r="B21" s="20"/>
      <c r="C21" s="80"/>
      <c r="D21" s="80"/>
      <c r="E21" s="81"/>
      <c r="F21" s="81"/>
      <c r="G21" s="81" t="s">
        <v>53</v>
      </c>
      <c r="H21" s="138">
        <v>45938</v>
      </c>
      <c r="I21" s="131">
        <v>36</v>
      </c>
      <c r="J21" s="132">
        <v>1.87</v>
      </c>
      <c r="K21" s="132">
        <v>84.77</v>
      </c>
      <c r="L21" s="132">
        <v>84.77</v>
      </c>
      <c r="M21" s="133"/>
      <c r="N21" s="132"/>
      <c r="O21" s="133">
        <f t="shared" si="0"/>
        <v>2.3547222222222222</v>
      </c>
    </row>
    <row r="22" spans="1:15" ht="20">
      <c r="A22" s="123"/>
      <c r="B22" s="20"/>
      <c r="C22" s="80"/>
      <c r="D22" s="80"/>
      <c r="E22" s="81"/>
      <c r="F22" s="81"/>
      <c r="G22" s="81" t="s">
        <v>27</v>
      </c>
      <c r="H22" s="138">
        <v>45938</v>
      </c>
      <c r="I22" s="131">
        <v>48</v>
      </c>
      <c r="J22" s="132">
        <v>1.69</v>
      </c>
      <c r="K22" s="132">
        <v>102.44</v>
      </c>
      <c r="L22" s="132">
        <v>102.44</v>
      </c>
      <c r="M22" s="133"/>
      <c r="N22" s="132"/>
      <c r="O22" s="133">
        <f t="shared" si="0"/>
        <v>2.1341666666666668</v>
      </c>
    </row>
    <row r="23" spans="1:15" ht="20">
      <c r="A23" s="123"/>
      <c r="B23" s="20"/>
      <c r="C23" s="80"/>
      <c r="D23" s="80"/>
      <c r="E23" s="81"/>
      <c r="F23" s="81"/>
      <c r="G23" s="81" t="s">
        <v>54</v>
      </c>
      <c r="H23" s="138">
        <v>45938</v>
      </c>
      <c r="I23" s="131">
        <v>48</v>
      </c>
      <c r="J23" s="132">
        <v>1.87</v>
      </c>
      <c r="K23" s="132">
        <v>112.82</v>
      </c>
      <c r="L23" s="132">
        <v>112.82</v>
      </c>
      <c r="M23" s="133"/>
      <c r="N23" s="132"/>
      <c r="O23" s="133">
        <f t="shared" si="0"/>
        <v>2.3504166666666664</v>
      </c>
    </row>
    <row r="24" spans="1:15" ht="20">
      <c r="A24" s="123"/>
      <c r="B24" s="20"/>
      <c r="C24" s="80"/>
      <c r="D24" s="80"/>
      <c r="E24" s="81"/>
      <c r="F24" s="81"/>
      <c r="G24" s="81" t="s">
        <v>55</v>
      </c>
      <c r="H24" s="138">
        <v>45938</v>
      </c>
      <c r="I24" s="131">
        <v>36</v>
      </c>
      <c r="J24" s="132">
        <v>1.28</v>
      </c>
      <c r="K24" s="132">
        <v>58.64</v>
      </c>
      <c r="L24" s="132">
        <v>58.64</v>
      </c>
      <c r="M24" s="133"/>
      <c r="N24" s="132"/>
      <c r="O24" s="133">
        <f t="shared" si="0"/>
        <v>1.6288888888888888</v>
      </c>
    </row>
    <row r="25" spans="1:15" ht="20">
      <c r="A25" s="123"/>
      <c r="B25" s="20"/>
      <c r="C25" s="80"/>
      <c r="D25" s="80"/>
      <c r="E25" s="81"/>
      <c r="F25" s="81"/>
      <c r="G25" s="95" t="s">
        <v>27</v>
      </c>
      <c r="H25" s="138">
        <v>45938</v>
      </c>
      <c r="I25" s="131">
        <v>48</v>
      </c>
      <c r="J25" s="132">
        <v>1.69</v>
      </c>
      <c r="K25" s="132">
        <v>102.44</v>
      </c>
      <c r="L25" s="132">
        <v>102.44</v>
      </c>
      <c r="M25" s="133"/>
      <c r="N25" s="132"/>
      <c r="O25" s="133">
        <f t="shared" si="0"/>
        <v>2.1341666666666668</v>
      </c>
    </row>
    <row r="26" spans="1:15" ht="20">
      <c r="A26" s="123"/>
      <c r="B26" s="20"/>
      <c r="C26" s="80"/>
      <c r="D26" s="80"/>
      <c r="E26" s="81"/>
      <c r="F26" s="81"/>
      <c r="G26" s="95" t="s">
        <v>56</v>
      </c>
      <c r="H26" s="138">
        <v>45938</v>
      </c>
      <c r="I26" s="131">
        <v>48</v>
      </c>
      <c r="J26" s="132">
        <v>1.69</v>
      </c>
      <c r="K26" s="132">
        <v>101.96</v>
      </c>
      <c r="L26" s="132">
        <v>101.96</v>
      </c>
      <c r="M26" s="133"/>
      <c r="N26" s="132"/>
      <c r="O26" s="133">
        <f t="shared" si="0"/>
        <v>2.1241666666666665</v>
      </c>
    </row>
    <row r="27" spans="1:15" ht="20">
      <c r="A27" s="123"/>
      <c r="B27" s="20"/>
      <c r="C27" s="80"/>
      <c r="D27" s="80"/>
      <c r="E27" s="81"/>
      <c r="F27" s="81"/>
      <c r="G27" s="95" t="s">
        <v>57</v>
      </c>
      <c r="H27" s="138">
        <v>45938</v>
      </c>
      <c r="I27" s="131">
        <v>36</v>
      </c>
      <c r="J27" s="132">
        <v>1.37</v>
      </c>
      <c r="K27" s="132">
        <v>62.77</v>
      </c>
      <c r="L27" s="132">
        <v>62.77</v>
      </c>
      <c r="M27" s="133"/>
      <c r="N27" s="132"/>
      <c r="O27" s="133">
        <f t="shared" si="0"/>
        <v>1.7436111111111112</v>
      </c>
    </row>
    <row r="28" spans="1:15" ht="20">
      <c r="A28" s="123"/>
      <c r="B28" s="20"/>
      <c r="C28" s="80"/>
      <c r="D28" s="80"/>
      <c r="E28" s="81"/>
      <c r="F28" s="81"/>
      <c r="G28" s="95" t="s">
        <v>58</v>
      </c>
      <c r="H28" s="138">
        <v>45938</v>
      </c>
      <c r="I28" s="131">
        <v>36</v>
      </c>
      <c r="J28" s="132">
        <v>2</v>
      </c>
      <c r="K28" s="132">
        <v>90.66</v>
      </c>
      <c r="L28" s="132">
        <v>90.66</v>
      </c>
      <c r="M28" s="133"/>
      <c r="N28" s="132"/>
      <c r="O28" s="133">
        <f t="shared" si="0"/>
        <v>2.5183333333333331</v>
      </c>
    </row>
    <row r="29" spans="1:15" ht="20">
      <c r="A29" s="123"/>
      <c r="B29" s="20"/>
      <c r="C29" s="80"/>
      <c r="D29" s="80"/>
      <c r="E29" s="81"/>
      <c r="F29" s="81"/>
      <c r="G29" s="95" t="s">
        <v>53</v>
      </c>
      <c r="H29" s="138">
        <v>45938</v>
      </c>
      <c r="I29" s="131">
        <v>24</v>
      </c>
      <c r="J29" s="132">
        <v>1.87</v>
      </c>
      <c r="K29" s="132">
        <v>57.17</v>
      </c>
      <c r="L29" s="132">
        <v>57.17</v>
      </c>
      <c r="M29" s="133"/>
      <c r="N29" s="132"/>
      <c r="O29" s="133">
        <f t="shared" si="0"/>
        <v>2.3820833333333336</v>
      </c>
    </row>
    <row r="30" spans="1:15" ht="20">
      <c r="A30" s="123"/>
      <c r="B30" s="20"/>
      <c r="C30" s="80"/>
      <c r="D30" s="80"/>
      <c r="E30" s="81"/>
      <c r="F30" s="81"/>
      <c r="G30" s="95" t="s">
        <v>59</v>
      </c>
      <c r="H30" s="130">
        <v>45946</v>
      </c>
      <c r="I30" s="131">
        <v>24</v>
      </c>
      <c r="J30" s="132">
        <v>1.58</v>
      </c>
      <c r="K30" s="132">
        <v>46.61</v>
      </c>
      <c r="L30" s="132">
        <v>46.61</v>
      </c>
      <c r="M30" s="133"/>
      <c r="N30" s="132"/>
      <c r="O30" s="133">
        <f t="shared" si="0"/>
        <v>1.9420833333333334</v>
      </c>
    </row>
    <row r="31" spans="1:15" ht="20">
      <c r="A31" s="123"/>
      <c r="B31" s="20"/>
      <c r="C31" s="80"/>
      <c r="D31" s="80"/>
      <c r="E31" s="81"/>
      <c r="F31" s="81"/>
      <c r="G31" s="95" t="s">
        <v>53</v>
      </c>
      <c r="H31" s="130">
        <v>45946</v>
      </c>
      <c r="I31" s="131">
        <v>12</v>
      </c>
      <c r="J31" s="132">
        <v>1.87</v>
      </c>
      <c r="K31" s="132">
        <v>28.05</v>
      </c>
      <c r="L31" s="132">
        <v>28.05</v>
      </c>
      <c r="M31" s="133"/>
      <c r="N31" s="132"/>
      <c r="O31" s="133">
        <f t="shared" si="0"/>
        <v>2.3374999999999999</v>
      </c>
    </row>
    <row r="32" spans="1:15" ht="20">
      <c r="A32" s="123"/>
      <c r="B32" s="20"/>
      <c r="C32" s="80"/>
      <c r="D32" s="80"/>
      <c r="E32" s="81"/>
      <c r="F32" s="81"/>
      <c r="G32" s="95" t="s">
        <v>60</v>
      </c>
      <c r="H32" s="130">
        <v>45946</v>
      </c>
      <c r="I32" s="131">
        <v>24</v>
      </c>
      <c r="J32" s="132">
        <v>1.28</v>
      </c>
      <c r="K32" s="132">
        <v>37.76</v>
      </c>
      <c r="L32" s="132">
        <v>37.76</v>
      </c>
      <c r="M32" s="133"/>
      <c r="N32" s="132"/>
      <c r="O32" s="133">
        <f t="shared" si="0"/>
        <v>1.5733333333333333</v>
      </c>
    </row>
    <row r="33" spans="1:15" ht="20">
      <c r="A33" s="123"/>
      <c r="B33" s="20"/>
      <c r="C33" s="80"/>
      <c r="D33" s="80"/>
      <c r="E33" s="81"/>
      <c r="F33" s="81"/>
      <c r="G33" s="95" t="s">
        <v>27</v>
      </c>
      <c r="H33" s="130">
        <v>45946</v>
      </c>
      <c r="I33" s="131">
        <v>36</v>
      </c>
      <c r="J33" s="132">
        <v>1.57</v>
      </c>
      <c r="K33" s="132">
        <v>69.08</v>
      </c>
      <c r="L33" s="132">
        <v>69.08</v>
      </c>
      <c r="M33" s="133"/>
      <c r="N33" s="133"/>
      <c r="O33" s="133">
        <f t="shared" si="0"/>
        <v>1.9188888888888889</v>
      </c>
    </row>
    <row r="34" spans="1:15" ht="20">
      <c r="A34" s="123"/>
      <c r="B34" s="20"/>
      <c r="C34" s="80"/>
      <c r="D34" s="80"/>
      <c r="E34" s="81"/>
      <c r="F34" s="81"/>
      <c r="G34" s="81" t="s">
        <v>61</v>
      </c>
      <c r="H34" s="130">
        <v>45946</v>
      </c>
      <c r="I34" s="131">
        <v>24</v>
      </c>
      <c r="J34" s="132">
        <v>1.96</v>
      </c>
      <c r="K34" s="132">
        <v>57.82</v>
      </c>
      <c r="L34" s="132">
        <v>57.82</v>
      </c>
      <c r="M34" s="133"/>
      <c r="N34" s="133"/>
      <c r="O34" s="133">
        <f t="shared" si="0"/>
        <v>2.4091666666666667</v>
      </c>
    </row>
    <row r="35" spans="1:15">
      <c r="A35" s="123"/>
      <c r="B35" s="20"/>
      <c r="C35" s="80"/>
      <c r="D35" s="80"/>
      <c r="E35" s="81"/>
      <c r="F35" s="81"/>
      <c r="H35" s="81"/>
      <c r="I35" s="81"/>
      <c r="J35" s="81"/>
      <c r="K35" s="81"/>
      <c r="L35" s="81"/>
      <c r="M35" s="81"/>
      <c r="N35" s="81"/>
      <c r="O35" s="22"/>
    </row>
    <row r="36" spans="1:15" ht="15" thickBot="1">
      <c r="A36" s="123"/>
      <c r="B36" s="139"/>
      <c r="C36" s="140"/>
      <c r="D36" s="140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2"/>
    </row>
    <row r="39" spans="1:15" ht="15" thickBot="1"/>
    <row r="40" spans="1:15" ht="35">
      <c r="A40" s="148"/>
      <c r="B40" s="149" t="s">
        <v>64</v>
      </c>
      <c r="C40" s="150">
        <v>45787</v>
      </c>
      <c r="D40" s="232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2"/>
    </row>
    <row r="41" spans="1:15">
      <c r="A41" s="148"/>
      <c r="B41" s="20"/>
      <c r="C41" s="80"/>
      <c r="D41" s="80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22"/>
    </row>
    <row r="42" spans="1:15" ht="15" thickBot="1">
      <c r="A42" s="148"/>
      <c r="B42" s="20"/>
      <c r="C42" s="80"/>
      <c r="D42" s="80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22"/>
    </row>
    <row r="43" spans="1:15" ht="21" thickBot="1">
      <c r="A43" s="148"/>
      <c r="B43" s="77" t="s">
        <v>0</v>
      </c>
      <c r="C43" s="78" t="s">
        <v>1</v>
      </c>
      <c r="D43" s="78"/>
      <c r="E43" s="78" t="s">
        <v>2</v>
      </c>
      <c r="F43" s="78"/>
      <c r="G43" s="78" t="s">
        <v>3</v>
      </c>
      <c r="H43" s="78" t="s">
        <v>4</v>
      </c>
      <c r="I43" s="78" t="s">
        <v>5</v>
      </c>
      <c r="J43" s="78"/>
      <c r="K43" s="78" t="s">
        <v>6</v>
      </c>
      <c r="L43" s="78" t="s">
        <v>7</v>
      </c>
      <c r="M43" s="78" t="s">
        <v>8</v>
      </c>
      <c r="N43" s="31" t="s">
        <v>9</v>
      </c>
      <c r="O43" s="79" t="s">
        <v>10</v>
      </c>
    </row>
    <row r="44" spans="1:15" ht="36" thickBot="1">
      <c r="A44" s="148"/>
      <c r="B44" s="150">
        <v>45787</v>
      </c>
      <c r="C44" s="8">
        <v>9600</v>
      </c>
      <c r="D44" s="8"/>
      <c r="E44" s="8">
        <v>120288</v>
      </c>
      <c r="F44" s="8"/>
      <c r="G44" s="8">
        <f>E44/C44</f>
        <v>12.53</v>
      </c>
      <c r="H44" s="8" t="e">
        <f>#REF!</f>
        <v>#REF!</v>
      </c>
      <c r="I44" s="8" t="e">
        <f>C44-H44</f>
        <v>#REF!</v>
      </c>
      <c r="J44" s="8"/>
      <c r="K44" s="8" t="e">
        <f>#REF!</f>
        <v>#REF!</v>
      </c>
      <c r="L44" s="8" t="e">
        <f>#REF!</f>
        <v>#REF!</v>
      </c>
      <c r="M44" s="8" t="e">
        <f>K44-L44</f>
        <v>#REF!</v>
      </c>
      <c r="N44" s="8"/>
      <c r="O44" s="9" t="e">
        <f>G44+#REF!</f>
        <v>#REF!</v>
      </c>
    </row>
    <row r="45" spans="1:15">
      <c r="A45" s="148"/>
      <c r="B45" s="20"/>
      <c r="C45" s="80"/>
      <c r="D45" s="80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22"/>
    </row>
    <row r="46" spans="1:15">
      <c r="A46" s="148"/>
      <c r="B46" s="20"/>
      <c r="C46" s="80"/>
      <c r="D46" s="80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22"/>
    </row>
    <row r="47" spans="1:15">
      <c r="A47" s="148"/>
      <c r="B47" s="20"/>
      <c r="C47" s="80"/>
      <c r="D47" s="80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22"/>
    </row>
    <row r="48" spans="1:15" ht="20">
      <c r="A48" s="148"/>
      <c r="B48" s="24" t="s">
        <v>16</v>
      </c>
      <c r="C48" s="82"/>
      <c r="D48" s="82"/>
      <c r="E48" s="83"/>
      <c r="F48" s="83"/>
      <c r="G48" s="81"/>
      <c r="H48" s="84" t="s">
        <v>17</v>
      </c>
      <c r="I48" s="85"/>
      <c r="J48" s="85"/>
      <c r="K48" s="86"/>
      <c r="L48" s="86"/>
      <c r="M48" s="86"/>
      <c r="N48" s="86"/>
      <c r="O48" s="22"/>
    </row>
    <row r="49" spans="1:15" ht="20">
      <c r="A49" s="148"/>
      <c r="B49" s="28" t="s">
        <v>18</v>
      </c>
      <c r="C49" s="29" t="s">
        <v>19</v>
      </c>
      <c r="D49" s="29" t="s">
        <v>20</v>
      </c>
      <c r="E49" s="30" t="s">
        <v>21</v>
      </c>
      <c r="F49" s="226"/>
      <c r="G49" s="31" t="s">
        <v>131</v>
      </c>
      <c r="H49" s="31" t="s">
        <v>18</v>
      </c>
      <c r="I49" s="31" t="s">
        <v>1</v>
      </c>
      <c r="J49" s="31" t="s">
        <v>22</v>
      </c>
      <c r="K49" s="31" t="s">
        <v>2</v>
      </c>
      <c r="L49" s="31" t="s">
        <v>23</v>
      </c>
      <c r="M49" s="31" t="s">
        <v>24</v>
      </c>
      <c r="N49" s="31" t="s">
        <v>9</v>
      </c>
      <c r="O49" s="31" t="s">
        <v>25</v>
      </c>
    </row>
    <row r="50" spans="1:15" ht="20">
      <c r="A50" s="148"/>
      <c r="B50" s="63" t="s">
        <v>65</v>
      </c>
      <c r="C50" s="85">
        <f>0.4*E44</f>
        <v>48115.200000000004</v>
      </c>
      <c r="D50" s="85">
        <v>436.97</v>
      </c>
      <c r="E50" s="61" t="s">
        <v>67</v>
      </c>
      <c r="F50" s="228"/>
      <c r="G50" s="81" t="s">
        <v>66</v>
      </c>
      <c r="H50" s="153">
        <v>45827</v>
      </c>
      <c r="I50" s="154">
        <v>72</v>
      </c>
      <c r="J50" s="155">
        <v>2.34</v>
      </c>
      <c r="K50" s="155">
        <v>236.34</v>
      </c>
      <c r="L50" s="155">
        <v>236.34</v>
      </c>
      <c r="M50" s="155"/>
      <c r="N50" s="155"/>
      <c r="O50" s="155">
        <f t="shared" ref="O50:O70" si="1">IF(K50&gt;0,(K50+N50)/I50,0)</f>
        <v>3.2825000000000002</v>
      </c>
    </row>
    <row r="51" spans="1:15" ht="20">
      <c r="A51" s="148"/>
      <c r="B51" s="63" t="s">
        <v>69</v>
      </c>
      <c r="C51" s="85">
        <v>25000</v>
      </c>
      <c r="D51" s="85">
        <v>227.04</v>
      </c>
      <c r="E51" s="61" t="s">
        <v>30</v>
      </c>
      <c r="F51" s="228"/>
      <c r="G51" s="81" t="s">
        <v>68</v>
      </c>
      <c r="H51" s="153">
        <v>45827</v>
      </c>
      <c r="I51" s="154">
        <v>144</v>
      </c>
      <c r="J51" s="155">
        <v>1.96</v>
      </c>
      <c r="K51" s="155">
        <v>395.92</v>
      </c>
      <c r="L51" s="155">
        <v>395.92</v>
      </c>
      <c r="M51" s="155"/>
      <c r="N51" s="155"/>
      <c r="O51" s="155">
        <f t="shared" si="1"/>
        <v>2.7494444444444444</v>
      </c>
    </row>
    <row r="52" spans="1:15" ht="20">
      <c r="A52" s="148"/>
      <c r="B52" s="32">
        <v>45954</v>
      </c>
      <c r="C52" s="85">
        <v>20000</v>
      </c>
      <c r="D52" s="85">
        <v>181.63</v>
      </c>
      <c r="E52" s="61" t="s">
        <v>32</v>
      </c>
      <c r="F52" s="228"/>
      <c r="G52" s="81" t="s">
        <v>70</v>
      </c>
      <c r="H52" s="153">
        <v>45827</v>
      </c>
      <c r="I52" s="154">
        <v>156</v>
      </c>
      <c r="J52" s="155">
        <v>1.54</v>
      </c>
      <c r="K52" s="155">
        <v>337.26</v>
      </c>
      <c r="L52" s="155">
        <v>337.26</v>
      </c>
      <c r="M52" s="155"/>
      <c r="N52" s="155"/>
      <c r="O52" s="155">
        <f t="shared" si="1"/>
        <v>2.1619230769230771</v>
      </c>
    </row>
    <row r="53" spans="1:15" ht="20">
      <c r="A53" s="148"/>
      <c r="B53" s="156">
        <v>45995</v>
      </c>
      <c r="C53" s="85">
        <v>27172.799999999999</v>
      </c>
      <c r="D53" s="85">
        <v>246.87</v>
      </c>
      <c r="E53" s="61" t="s">
        <v>34</v>
      </c>
      <c r="F53" s="228"/>
      <c r="G53" s="81" t="s">
        <v>71</v>
      </c>
      <c r="H53" s="153">
        <v>45827</v>
      </c>
      <c r="I53" s="154">
        <v>120</v>
      </c>
      <c r="J53" s="155">
        <v>1.94</v>
      </c>
      <c r="K53" s="155">
        <v>325.92</v>
      </c>
      <c r="L53" s="155">
        <v>325.92</v>
      </c>
      <c r="M53" s="155"/>
      <c r="N53" s="155"/>
      <c r="O53" s="155">
        <f t="shared" si="1"/>
        <v>2.7160000000000002</v>
      </c>
    </row>
    <row r="54" spans="1:15" ht="20">
      <c r="A54" s="148"/>
      <c r="F54" s="228"/>
      <c r="G54" s="81" t="s">
        <v>72</v>
      </c>
      <c r="H54" s="153">
        <v>45827</v>
      </c>
      <c r="I54" s="154">
        <v>144</v>
      </c>
      <c r="J54" s="155">
        <v>1.54</v>
      </c>
      <c r="K54" s="155">
        <v>311.08</v>
      </c>
      <c r="L54" s="155">
        <v>311.08</v>
      </c>
      <c r="M54" s="155"/>
      <c r="N54" s="155"/>
      <c r="O54" s="155">
        <f t="shared" si="1"/>
        <v>2.1602777777777775</v>
      </c>
    </row>
    <row r="55" spans="1:15" ht="20">
      <c r="A55" s="148"/>
      <c r="B55" s="41"/>
      <c r="C55" s="42"/>
      <c r="D55" s="42"/>
      <c r="E55" s="43"/>
      <c r="F55" s="86"/>
      <c r="G55" s="81" t="s">
        <v>73</v>
      </c>
      <c r="H55" s="153">
        <v>45833</v>
      </c>
      <c r="I55" s="154">
        <v>228</v>
      </c>
      <c r="J55" s="155">
        <v>1.57</v>
      </c>
      <c r="K55" s="155">
        <v>500.83</v>
      </c>
      <c r="L55" s="155">
        <v>500.83</v>
      </c>
      <c r="M55" s="155"/>
      <c r="N55" s="155"/>
      <c r="O55" s="155">
        <f t="shared" si="1"/>
        <v>2.196622807017544</v>
      </c>
    </row>
    <row r="56" spans="1:15" ht="20">
      <c r="A56" s="148"/>
      <c r="B56" s="45"/>
      <c r="C56" s="81"/>
      <c r="D56" s="81"/>
      <c r="E56" s="81"/>
      <c r="F56" s="81"/>
      <c r="G56" s="81" t="s">
        <v>74</v>
      </c>
      <c r="H56" s="153">
        <v>45833</v>
      </c>
      <c r="I56" s="154">
        <v>204</v>
      </c>
      <c r="J56" s="155">
        <v>1.9</v>
      </c>
      <c r="K56" s="155">
        <v>543.4</v>
      </c>
      <c r="L56" s="155">
        <v>543.4</v>
      </c>
      <c r="M56" s="155"/>
      <c r="N56" s="155"/>
      <c r="O56" s="155">
        <f t="shared" si="1"/>
        <v>2.6637254901960783</v>
      </c>
    </row>
    <row r="57" spans="1:15" ht="20">
      <c r="A57" s="148"/>
      <c r="B57" s="45"/>
      <c r="C57" s="81"/>
      <c r="D57" s="81"/>
      <c r="E57" s="81"/>
      <c r="F57" s="81"/>
      <c r="G57" s="81" t="s">
        <v>75</v>
      </c>
      <c r="H57" s="153">
        <v>45833</v>
      </c>
      <c r="I57" s="154">
        <v>156</v>
      </c>
      <c r="J57" s="155">
        <v>1.57</v>
      </c>
      <c r="K57" s="155">
        <v>343.83</v>
      </c>
      <c r="L57" s="155">
        <v>343.83</v>
      </c>
      <c r="M57" s="155"/>
      <c r="N57" s="155"/>
      <c r="O57" s="155">
        <f t="shared" si="1"/>
        <v>2.2040384615384614</v>
      </c>
    </row>
    <row r="58" spans="1:15" ht="20">
      <c r="A58" s="148"/>
      <c r="B58" s="20"/>
      <c r="C58" s="80"/>
      <c r="D58" s="80"/>
      <c r="E58" s="81"/>
      <c r="F58" s="81"/>
      <c r="G58" s="81" t="s">
        <v>76</v>
      </c>
      <c r="H58" s="153">
        <v>45833</v>
      </c>
      <c r="I58" s="154">
        <v>204</v>
      </c>
      <c r="J58" s="155">
        <v>1.9</v>
      </c>
      <c r="K58" s="155">
        <v>543.4</v>
      </c>
      <c r="L58" s="155">
        <v>543.4</v>
      </c>
      <c r="M58" s="155"/>
      <c r="N58" s="155"/>
      <c r="O58" s="155">
        <f t="shared" si="1"/>
        <v>2.6637254901960783</v>
      </c>
    </row>
    <row r="59" spans="1:15" ht="20">
      <c r="A59" s="148"/>
      <c r="B59" s="20"/>
      <c r="C59" s="80"/>
      <c r="D59" s="80"/>
      <c r="E59" s="81"/>
      <c r="F59" s="81"/>
      <c r="G59" s="81" t="s">
        <v>77</v>
      </c>
      <c r="H59" s="153">
        <v>45833</v>
      </c>
      <c r="I59" s="154">
        <v>108</v>
      </c>
      <c r="J59" s="155">
        <v>2.2799999999999998</v>
      </c>
      <c r="K59" s="155">
        <v>344.28</v>
      </c>
      <c r="L59" s="155">
        <v>344.28</v>
      </c>
      <c r="M59" s="155"/>
      <c r="N59" s="155"/>
      <c r="O59" s="155">
        <f t="shared" si="1"/>
        <v>3.1877777777777774</v>
      </c>
    </row>
    <row r="60" spans="1:15" ht="20">
      <c r="A60" s="148"/>
      <c r="B60" s="45"/>
      <c r="C60" s="81"/>
      <c r="D60" s="81"/>
      <c r="E60" s="81"/>
      <c r="F60" s="81"/>
      <c r="G60" s="81" t="s">
        <v>78</v>
      </c>
      <c r="H60" s="157">
        <v>45870</v>
      </c>
      <c r="I60" s="154">
        <v>300</v>
      </c>
      <c r="J60" s="155">
        <v>1.7</v>
      </c>
      <c r="K60" s="155">
        <v>671.5</v>
      </c>
      <c r="L60" s="155">
        <v>671.5</v>
      </c>
      <c r="M60" s="155"/>
      <c r="N60" s="155"/>
      <c r="O60" s="155">
        <f t="shared" si="1"/>
        <v>2.2383333333333333</v>
      </c>
    </row>
    <row r="61" spans="1:15" ht="20">
      <c r="A61" s="148"/>
      <c r="B61" s="45"/>
      <c r="C61" s="81"/>
      <c r="D61" s="81"/>
      <c r="E61" s="81"/>
      <c r="F61" s="81"/>
      <c r="G61" s="1" t="s">
        <v>79</v>
      </c>
      <c r="H61" s="157">
        <v>45873</v>
      </c>
      <c r="I61" s="154">
        <v>960</v>
      </c>
      <c r="J61" s="155">
        <v>1.7</v>
      </c>
      <c r="K61" s="155">
        <v>2283.1</v>
      </c>
      <c r="L61" s="155">
        <v>2283.1</v>
      </c>
      <c r="M61" s="155"/>
      <c r="N61" s="155"/>
      <c r="O61" s="155">
        <f t="shared" si="1"/>
        <v>2.3782291666666664</v>
      </c>
    </row>
    <row r="62" spans="1:15" ht="20">
      <c r="A62" s="148"/>
      <c r="B62" s="45"/>
      <c r="C62" s="81"/>
      <c r="D62" s="81"/>
      <c r="E62" s="81"/>
      <c r="F62" s="81"/>
      <c r="G62" s="1" t="s">
        <v>51</v>
      </c>
      <c r="H62" s="157">
        <v>45877</v>
      </c>
      <c r="I62" s="154">
        <v>840</v>
      </c>
      <c r="J62" s="155">
        <v>1.7</v>
      </c>
      <c r="K62" s="155">
        <v>1953.8140000000001</v>
      </c>
      <c r="L62" s="155">
        <v>1953.8140000000001</v>
      </c>
      <c r="M62" s="155"/>
      <c r="N62" s="155"/>
      <c r="O62" s="155">
        <f t="shared" si="1"/>
        <v>2.3259690476190475</v>
      </c>
    </row>
    <row r="63" spans="1:15" ht="20">
      <c r="A63" s="148"/>
      <c r="B63" s="45"/>
      <c r="C63" s="81"/>
      <c r="D63" s="81"/>
      <c r="E63" s="81"/>
      <c r="F63" s="81"/>
      <c r="G63" s="1" t="s">
        <v>80</v>
      </c>
      <c r="H63" s="157">
        <v>45885</v>
      </c>
      <c r="I63" s="154">
        <v>720</v>
      </c>
      <c r="J63" s="155">
        <v>1.7</v>
      </c>
      <c r="K63" s="155">
        <v>1711.9</v>
      </c>
      <c r="L63" s="155">
        <v>1711.9</v>
      </c>
      <c r="M63" s="155"/>
      <c r="N63" s="155"/>
      <c r="O63" s="155">
        <f t="shared" si="1"/>
        <v>2.3776388888888889</v>
      </c>
    </row>
    <row r="64" spans="1:15" ht="20">
      <c r="A64" s="148"/>
      <c r="B64" s="45"/>
      <c r="C64" s="81"/>
      <c r="D64" s="81"/>
      <c r="E64" s="81"/>
      <c r="F64" s="81"/>
      <c r="G64" s="1" t="s">
        <v>81</v>
      </c>
      <c r="H64" s="157">
        <v>45897</v>
      </c>
      <c r="I64" s="154">
        <v>1656</v>
      </c>
      <c r="J64" s="155">
        <v>1.6</v>
      </c>
      <c r="K64" s="155">
        <v>3705.6</v>
      </c>
      <c r="L64" s="155">
        <v>3705.6</v>
      </c>
      <c r="M64" s="155"/>
      <c r="N64" s="155"/>
      <c r="O64" s="155">
        <f t="shared" si="1"/>
        <v>2.2376811594202897</v>
      </c>
    </row>
    <row r="65" spans="1:16" ht="20">
      <c r="A65" s="148"/>
      <c r="B65" s="45"/>
      <c r="C65" s="81"/>
      <c r="D65" s="81"/>
      <c r="E65" s="81"/>
      <c r="F65" s="81"/>
      <c r="G65" s="1" t="s">
        <v>82</v>
      </c>
      <c r="H65" s="157">
        <v>45897</v>
      </c>
      <c r="I65" s="154">
        <v>1644</v>
      </c>
      <c r="J65" s="155">
        <v>1.6</v>
      </c>
      <c r="K65" s="155">
        <v>3678.4</v>
      </c>
      <c r="L65" s="155">
        <v>3678.4</v>
      </c>
      <c r="M65" s="155"/>
      <c r="N65" s="155"/>
      <c r="O65" s="155">
        <f t="shared" si="1"/>
        <v>2.2374695863746958</v>
      </c>
    </row>
    <row r="66" spans="1:16" ht="20">
      <c r="A66" s="148"/>
      <c r="B66" s="45"/>
      <c r="C66" s="81"/>
      <c r="D66" s="81"/>
      <c r="E66" s="81"/>
      <c r="F66" s="81"/>
      <c r="G66" s="1" t="s">
        <v>62</v>
      </c>
      <c r="H66" s="158">
        <v>45904</v>
      </c>
      <c r="I66" s="145">
        <v>168</v>
      </c>
      <c r="J66" s="146">
        <v>1.6</v>
      </c>
      <c r="K66" s="146">
        <v>355.14</v>
      </c>
      <c r="L66" s="146">
        <v>355.14</v>
      </c>
      <c r="M66" s="147"/>
      <c r="N66" s="146"/>
      <c r="O66" s="147">
        <f t="shared" si="1"/>
        <v>2.1139285714285712</v>
      </c>
    </row>
    <row r="67" spans="1:16" ht="20">
      <c r="A67" s="148"/>
      <c r="B67" s="45"/>
      <c r="C67" s="81"/>
      <c r="D67" s="81"/>
      <c r="E67" s="81"/>
      <c r="F67" s="81"/>
      <c r="G67" s="46" t="s">
        <v>63</v>
      </c>
      <c r="H67" s="158">
        <v>45905</v>
      </c>
      <c r="I67" s="145">
        <v>168</v>
      </c>
      <c r="J67" s="146">
        <v>1.6</v>
      </c>
      <c r="K67" s="146">
        <v>361</v>
      </c>
      <c r="L67" s="146">
        <v>361</v>
      </c>
      <c r="M67" s="147"/>
      <c r="N67" s="146"/>
      <c r="O67" s="147">
        <f t="shared" si="1"/>
        <v>2.1488095238095237</v>
      </c>
    </row>
    <row r="68" spans="1:16" ht="20">
      <c r="A68" s="148"/>
      <c r="B68" s="45"/>
      <c r="C68" s="81"/>
      <c r="D68" s="81"/>
      <c r="E68" s="81"/>
      <c r="F68" s="81"/>
      <c r="G68" s="65" t="s">
        <v>83</v>
      </c>
      <c r="H68" s="158">
        <v>45912</v>
      </c>
      <c r="I68" s="145">
        <v>540</v>
      </c>
      <c r="J68" s="146">
        <v>2.16</v>
      </c>
      <c r="K68" s="146">
        <v>1546.8</v>
      </c>
      <c r="L68" s="146">
        <v>1546.8</v>
      </c>
      <c r="M68" s="147"/>
      <c r="N68" s="146"/>
      <c r="O68" s="147">
        <f t="shared" si="1"/>
        <v>2.8644444444444446</v>
      </c>
    </row>
    <row r="69" spans="1:16" ht="20">
      <c r="A69" s="148"/>
      <c r="B69" s="45"/>
      <c r="C69" s="81"/>
      <c r="D69" s="81"/>
      <c r="E69" s="81"/>
      <c r="F69" s="81"/>
      <c r="G69" s="65" t="s">
        <v>84</v>
      </c>
      <c r="H69" s="158">
        <v>45912</v>
      </c>
      <c r="I69" s="145">
        <v>540</v>
      </c>
      <c r="J69" s="146">
        <v>2.16</v>
      </c>
      <c r="K69" s="146">
        <v>1546.8</v>
      </c>
      <c r="L69" s="146">
        <v>1546.8</v>
      </c>
      <c r="M69" s="147"/>
      <c r="N69" s="146"/>
      <c r="O69" s="147">
        <f t="shared" si="1"/>
        <v>2.8644444444444446</v>
      </c>
    </row>
    <row r="70" spans="1:16" ht="20">
      <c r="A70" s="148"/>
      <c r="B70" s="45"/>
      <c r="C70" s="81"/>
      <c r="D70" s="81"/>
      <c r="E70" s="81"/>
      <c r="F70" s="81"/>
      <c r="G70" s="65" t="s">
        <v>85</v>
      </c>
      <c r="H70" s="158">
        <v>45912</v>
      </c>
      <c r="I70" s="145">
        <v>528</v>
      </c>
      <c r="J70" s="146">
        <v>2.16</v>
      </c>
      <c r="K70" s="146">
        <v>1512.11</v>
      </c>
      <c r="L70" s="146">
        <v>1512.11</v>
      </c>
      <c r="M70" s="147"/>
      <c r="N70" s="146"/>
      <c r="O70" s="147">
        <f t="shared" si="1"/>
        <v>2.8638446969696969</v>
      </c>
    </row>
    <row r="71" spans="1:16" ht="20">
      <c r="A71" s="148"/>
      <c r="B71" s="45"/>
      <c r="C71" s="81"/>
      <c r="D71" s="81"/>
      <c r="E71" s="81"/>
      <c r="F71" s="81"/>
      <c r="G71" s="46"/>
      <c r="H71" s="159"/>
      <c r="I71" s="160"/>
      <c r="J71" s="85"/>
      <c r="K71" s="85"/>
      <c r="L71" s="85"/>
      <c r="M71" s="161"/>
      <c r="N71" s="85"/>
      <c r="O71" s="94"/>
    </row>
    <row r="72" spans="1:16" ht="20">
      <c r="A72" s="148"/>
      <c r="B72" s="45"/>
      <c r="C72" s="81"/>
      <c r="D72" s="81"/>
      <c r="E72" s="81"/>
      <c r="F72" s="81"/>
      <c r="H72" s="159"/>
      <c r="I72" s="160"/>
      <c r="J72" s="85"/>
      <c r="K72" s="85"/>
      <c r="L72" s="85"/>
      <c r="M72" s="161"/>
      <c r="N72" s="85"/>
      <c r="O72" s="94"/>
    </row>
    <row r="73" spans="1:16">
      <c r="A73" s="162"/>
      <c r="B73" s="98"/>
      <c r="C73" s="3"/>
      <c r="D73" s="3"/>
      <c r="E73" s="2"/>
      <c r="F73" s="2"/>
      <c r="G73" s="2"/>
      <c r="H73" s="2"/>
      <c r="I73" s="2"/>
      <c r="J73" s="2"/>
      <c r="K73" s="2"/>
      <c r="L73" s="2"/>
      <c r="M73" s="2"/>
      <c r="N73" s="2"/>
      <c r="O73" s="99"/>
    </row>
    <row r="74" spans="1:16" ht="15" thickBot="1">
      <c r="A74" s="163"/>
      <c r="B74" s="164"/>
      <c r="C74" s="165"/>
      <c r="D74" s="165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6"/>
    </row>
    <row r="75" spans="1:16">
      <c r="A75" s="162"/>
      <c r="B75" s="162"/>
      <c r="C75" s="167"/>
      <c r="D75" s="167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</row>
    <row r="77" spans="1:16" ht="60" thickBot="1">
      <c r="A77" s="13"/>
      <c r="B77" s="13"/>
      <c r="C77" s="14"/>
      <c r="D77" s="14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</row>
    <row r="78" spans="1:16" ht="36">
      <c r="A78" s="51"/>
      <c r="B78" s="52" t="s">
        <v>40</v>
      </c>
      <c r="C78" s="10" t="s">
        <v>88</v>
      </c>
      <c r="D78" s="231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4"/>
    </row>
    <row r="79" spans="1:16">
      <c r="A79" s="51"/>
      <c r="B79" s="20"/>
      <c r="O79" s="22"/>
    </row>
    <row r="80" spans="1:16" ht="15" thickBot="1">
      <c r="A80" s="51"/>
      <c r="B80" s="20"/>
      <c r="O80" s="22"/>
    </row>
    <row r="81" spans="1:15" ht="18">
      <c r="A81" s="51"/>
      <c r="B81" s="55" t="s">
        <v>0</v>
      </c>
      <c r="C81" s="56" t="s">
        <v>1</v>
      </c>
      <c r="D81" s="56"/>
      <c r="E81" s="56" t="s">
        <v>2</v>
      </c>
      <c r="F81" s="56"/>
      <c r="G81" s="56" t="s">
        <v>3</v>
      </c>
      <c r="H81" s="56" t="s">
        <v>4</v>
      </c>
      <c r="I81" s="56" t="s">
        <v>5</v>
      </c>
      <c r="J81" s="56"/>
      <c r="K81" s="56" t="s">
        <v>6</v>
      </c>
      <c r="L81" s="56" t="s">
        <v>7</v>
      </c>
      <c r="M81" s="56" t="s">
        <v>8</v>
      </c>
      <c r="N81" s="56" t="s">
        <v>9</v>
      </c>
      <c r="O81" s="57" t="s">
        <v>10</v>
      </c>
    </row>
    <row r="82" spans="1:15" ht="15" thickBot="1">
      <c r="A82" s="51"/>
      <c r="B82" s="143" t="s">
        <v>89</v>
      </c>
      <c r="C82" s="8">
        <v>1992</v>
      </c>
      <c r="D82" s="8"/>
      <c r="E82" s="8">
        <v>10023.280000000001</v>
      </c>
      <c r="F82" s="8"/>
      <c r="G82" s="8">
        <f>E82/C82</f>
        <v>5.0317670682730924</v>
      </c>
      <c r="H82" s="8" t="e">
        <f>#REF!</f>
        <v>#REF!</v>
      </c>
      <c r="I82" s="8" t="e">
        <f>C82-H82</f>
        <v>#REF!</v>
      </c>
      <c r="J82" s="8"/>
      <c r="K82" s="8" t="e">
        <f>#REF!</f>
        <v>#REF!</v>
      </c>
      <c r="L82" s="8" t="e">
        <f>#REF!</f>
        <v>#REF!</v>
      </c>
      <c r="M82" s="8" t="e">
        <f>K82-L82</f>
        <v>#REF!</v>
      </c>
      <c r="N82" s="8"/>
      <c r="O82" s="9" t="e">
        <f>G82+#REF!</f>
        <v>#REF!</v>
      </c>
    </row>
    <row r="83" spans="1:15">
      <c r="A83" s="51"/>
      <c r="B83" s="20"/>
      <c r="O83" s="22"/>
    </row>
    <row r="84" spans="1:15">
      <c r="A84" s="51"/>
      <c r="B84" s="20"/>
      <c r="O84" s="22"/>
    </row>
    <row r="85" spans="1:15">
      <c r="A85" s="51"/>
      <c r="B85" s="20"/>
      <c r="O85" s="22"/>
    </row>
    <row r="86" spans="1:15" ht="20">
      <c r="A86" s="51"/>
      <c r="B86" s="24" t="s">
        <v>16</v>
      </c>
      <c r="C86" s="25"/>
      <c r="D86" s="25"/>
      <c r="E86" s="26"/>
      <c r="F86" s="26"/>
      <c r="H86" s="27" t="s">
        <v>17</v>
      </c>
      <c r="I86" s="25"/>
      <c r="J86" s="25"/>
      <c r="K86" s="26"/>
      <c r="L86" s="26"/>
      <c r="M86" s="26"/>
      <c r="N86" s="26"/>
      <c r="O86" s="22"/>
    </row>
    <row r="87" spans="1:15" ht="20">
      <c r="A87" s="51"/>
      <c r="B87" s="28" t="s">
        <v>18</v>
      </c>
      <c r="C87" s="29" t="s">
        <v>19</v>
      </c>
      <c r="D87" s="29" t="s">
        <v>20</v>
      </c>
      <c r="E87" s="30" t="s">
        <v>21</v>
      </c>
      <c r="F87" s="226"/>
      <c r="G87" s="31" t="s">
        <v>131</v>
      </c>
      <c r="H87" s="31" t="s">
        <v>18</v>
      </c>
      <c r="I87" s="31" t="s">
        <v>1</v>
      </c>
      <c r="J87" s="31" t="s">
        <v>22</v>
      </c>
      <c r="K87" s="31" t="s">
        <v>2</v>
      </c>
      <c r="L87" s="31" t="s">
        <v>23</v>
      </c>
      <c r="M87" s="31" t="s">
        <v>24</v>
      </c>
      <c r="N87" s="31" t="s">
        <v>9</v>
      </c>
      <c r="O87" s="31" t="s">
        <v>25</v>
      </c>
    </row>
    <row r="88" spans="1:15" ht="20">
      <c r="A88" s="51"/>
      <c r="B88" s="63" t="s">
        <v>89</v>
      </c>
      <c r="C88" s="25">
        <v>10023.280000000001</v>
      </c>
      <c r="D88" s="25">
        <v>91</v>
      </c>
      <c r="E88" s="61" t="s">
        <v>26</v>
      </c>
      <c r="F88" s="228"/>
      <c r="G88" s="1" t="s">
        <v>37</v>
      </c>
      <c r="H88" s="153">
        <v>45882</v>
      </c>
      <c r="I88" s="154">
        <v>96</v>
      </c>
      <c r="J88" s="155">
        <v>2.33</v>
      </c>
      <c r="K88" s="155">
        <v>131.52000000000001</v>
      </c>
      <c r="L88" s="155">
        <v>131.52000000000001</v>
      </c>
      <c r="M88" s="155"/>
      <c r="N88" s="155"/>
      <c r="O88" s="155">
        <f t="shared" ref="O88:O101" si="2">IF(K88&gt;0,(K88+N88)/I88,0)</f>
        <v>1.37</v>
      </c>
    </row>
    <row r="89" spans="1:15" ht="20">
      <c r="A89" s="51"/>
      <c r="E89" s="61"/>
      <c r="F89" s="228"/>
      <c r="G89" s="1" t="s">
        <v>35</v>
      </c>
      <c r="H89" s="153">
        <v>45882</v>
      </c>
      <c r="I89" s="154">
        <v>120</v>
      </c>
      <c r="J89" s="155">
        <v>2.33</v>
      </c>
      <c r="K89" s="155">
        <v>165.25700000000001</v>
      </c>
      <c r="L89" s="155">
        <v>165.25700000000001</v>
      </c>
      <c r="M89" s="155"/>
      <c r="N89" s="155"/>
      <c r="O89" s="155">
        <f t="shared" si="2"/>
        <v>1.3771416666666667</v>
      </c>
    </row>
    <row r="90" spans="1:15" ht="20">
      <c r="A90" s="51"/>
      <c r="B90" s="32"/>
      <c r="C90" s="25"/>
      <c r="D90" s="25"/>
      <c r="E90" s="61"/>
      <c r="F90" s="228"/>
      <c r="G90" s="1" t="s">
        <v>53</v>
      </c>
      <c r="H90" s="153">
        <v>45882</v>
      </c>
      <c r="I90" s="154">
        <v>72</v>
      </c>
      <c r="J90" s="155">
        <v>2.09</v>
      </c>
      <c r="K90" s="155">
        <v>87.78</v>
      </c>
      <c r="L90" s="155">
        <v>87.78</v>
      </c>
      <c r="M90" s="155"/>
      <c r="N90" s="155"/>
      <c r="O90" s="155">
        <f t="shared" si="2"/>
        <v>1.2191666666666667</v>
      </c>
    </row>
    <row r="91" spans="1:15" ht="20">
      <c r="A91" s="51"/>
      <c r="B91" s="63"/>
      <c r="C91" s="25"/>
      <c r="D91" s="25"/>
      <c r="E91" s="61"/>
      <c r="F91" s="228"/>
      <c r="G91" s="1" t="s">
        <v>54</v>
      </c>
      <c r="H91" s="153">
        <v>45882</v>
      </c>
      <c r="I91" s="154">
        <v>144</v>
      </c>
      <c r="J91" s="155">
        <v>2.09</v>
      </c>
      <c r="K91" s="155">
        <v>175.56</v>
      </c>
      <c r="L91" s="155">
        <v>175.56</v>
      </c>
      <c r="M91" s="155"/>
      <c r="N91" s="155"/>
      <c r="O91" s="155">
        <f t="shared" si="2"/>
        <v>1.2191666666666667</v>
      </c>
    </row>
    <row r="92" spans="1:15" ht="20">
      <c r="A92" s="51"/>
      <c r="B92" s="64"/>
      <c r="C92" s="25"/>
      <c r="D92" s="25"/>
      <c r="E92" s="61"/>
      <c r="F92" s="228"/>
      <c r="G92" s="1" t="s">
        <v>27</v>
      </c>
      <c r="H92" s="153">
        <v>45882</v>
      </c>
      <c r="I92" s="154">
        <v>96</v>
      </c>
      <c r="J92" s="155">
        <v>2.6</v>
      </c>
      <c r="K92" s="155">
        <v>147.86000000000001</v>
      </c>
      <c r="L92" s="155">
        <v>147.86000000000001</v>
      </c>
      <c r="M92" s="155"/>
      <c r="N92" s="155"/>
      <c r="O92" s="155">
        <f t="shared" si="2"/>
        <v>1.5402083333333334</v>
      </c>
    </row>
    <row r="93" spans="1:15" ht="20">
      <c r="A93" s="51"/>
      <c r="B93" s="41"/>
      <c r="C93" s="42"/>
      <c r="D93" s="42"/>
      <c r="E93" s="43"/>
      <c r="F93" s="86"/>
      <c r="G93" s="46" t="s">
        <v>39</v>
      </c>
      <c r="H93" s="181">
        <v>45912</v>
      </c>
      <c r="I93" s="182">
        <v>120</v>
      </c>
      <c r="J93" s="183">
        <v>2.1800000000000002</v>
      </c>
      <c r="K93" s="183">
        <v>148.41</v>
      </c>
      <c r="L93" s="183">
        <v>148.41</v>
      </c>
      <c r="M93" s="147"/>
      <c r="N93" s="147"/>
      <c r="O93" s="147">
        <f t="shared" si="2"/>
        <v>1.23675</v>
      </c>
    </row>
    <row r="94" spans="1:15" ht="20">
      <c r="A94" s="51"/>
      <c r="B94" s="45"/>
      <c r="C94" s="1"/>
      <c r="D94" s="1"/>
      <c r="G94" s="46" t="s">
        <v>90</v>
      </c>
      <c r="H94" s="184">
        <v>45912</v>
      </c>
      <c r="I94" s="185">
        <v>120</v>
      </c>
      <c r="J94" s="183">
        <v>2.36</v>
      </c>
      <c r="K94" s="183">
        <v>163.89</v>
      </c>
      <c r="L94" s="183">
        <v>163.89</v>
      </c>
      <c r="M94" s="147"/>
      <c r="N94" s="147"/>
      <c r="O94" s="147">
        <f t="shared" si="2"/>
        <v>1.3657499999999998</v>
      </c>
    </row>
    <row r="95" spans="1:15" ht="20">
      <c r="A95" s="51"/>
      <c r="B95" s="45"/>
      <c r="C95" s="1"/>
      <c r="D95" s="1"/>
      <c r="G95" s="46" t="s">
        <v>55</v>
      </c>
      <c r="H95" s="184">
        <v>45912</v>
      </c>
      <c r="I95" s="185">
        <v>192</v>
      </c>
      <c r="J95" s="183">
        <v>1.5</v>
      </c>
      <c r="K95" s="183">
        <v>165.69</v>
      </c>
      <c r="L95" s="183">
        <v>165.69</v>
      </c>
      <c r="M95" s="147"/>
      <c r="N95" s="183"/>
      <c r="O95" s="147">
        <f t="shared" si="2"/>
        <v>0.86296874999999995</v>
      </c>
    </row>
    <row r="96" spans="1:15" ht="20">
      <c r="A96" s="51"/>
      <c r="B96" s="20"/>
      <c r="G96" s="46" t="s">
        <v>56</v>
      </c>
      <c r="H96" s="184">
        <v>45912</v>
      </c>
      <c r="I96" s="185">
        <v>168</v>
      </c>
      <c r="J96" s="183">
        <v>1.72</v>
      </c>
      <c r="K96" s="183">
        <v>166.46600000000001</v>
      </c>
      <c r="L96" s="183">
        <v>166.46600000000001</v>
      </c>
      <c r="M96" s="147"/>
      <c r="N96" s="183"/>
      <c r="O96" s="147">
        <f t="shared" si="2"/>
        <v>0.9908690476190477</v>
      </c>
    </row>
    <row r="97" spans="1:15" ht="20">
      <c r="A97" s="51"/>
      <c r="B97" s="20"/>
      <c r="G97" s="46" t="s">
        <v>27</v>
      </c>
      <c r="H97" s="184">
        <v>45912</v>
      </c>
      <c r="I97" s="185">
        <v>144</v>
      </c>
      <c r="J97" s="183">
        <v>1.72</v>
      </c>
      <c r="K97" s="183">
        <v>143.54</v>
      </c>
      <c r="L97" s="183">
        <v>143.54</v>
      </c>
      <c r="M97" s="147"/>
      <c r="N97" s="183"/>
      <c r="O97" s="147">
        <f t="shared" si="2"/>
        <v>0.9968055555555555</v>
      </c>
    </row>
    <row r="98" spans="1:15" ht="20">
      <c r="A98" s="51"/>
      <c r="B98" s="20"/>
      <c r="G98" s="65" t="s">
        <v>83</v>
      </c>
      <c r="H98" s="184">
        <v>45912</v>
      </c>
      <c r="I98" s="185">
        <v>240</v>
      </c>
      <c r="J98" s="183">
        <v>2.16</v>
      </c>
      <c r="K98" s="183">
        <v>343.73</v>
      </c>
      <c r="L98" s="183">
        <v>343.73</v>
      </c>
      <c r="M98" s="147"/>
      <c r="N98" s="183"/>
      <c r="O98" s="147">
        <f t="shared" si="2"/>
        <v>1.4322083333333333</v>
      </c>
    </row>
    <row r="99" spans="1:15" ht="20">
      <c r="A99" s="51"/>
      <c r="B99" s="20"/>
      <c r="G99" s="65" t="s">
        <v>84</v>
      </c>
      <c r="H99" s="184">
        <v>45912</v>
      </c>
      <c r="I99" s="185">
        <v>240</v>
      </c>
      <c r="J99" s="183">
        <v>2.16</v>
      </c>
      <c r="K99" s="183">
        <v>343.73</v>
      </c>
      <c r="L99" s="183">
        <v>343.73</v>
      </c>
      <c r="M99" s="147"/>
      <c r="N99" s="183"/>
      <c r="O99" s="147">
        <f t="shared" si="2"/>
        <v>1.4322083333333333</v>
      </c>
    </row>
    <row r="100" spans="1:15" ht="20">
      <c r="A100" s="51"/>
      <c r="B100" s="20"/>
      <c r="G100" s="65" t="s">
        <v>85</v>
      </c>
      <c r="H100" s="184">
        <v>45912</v>
      </c>
      <c r="I100" s="185">
        <v>240</v>
      </c>
      <c r="J100" s="183">
        <v>2.16</v>
      </c>
      <c r="K100" s="183">
        <v>343.66</v>
      </c>
      <c r="L100" s="183">
        <v>343.66</v>
      </c>
      <c r="M100" s="147"/>
      <c r="N100" s="183"/>
      <c r="O100" s="147">
        <f t="shared" si="2"/>
        <v>1.4319166666666667</v>
      </c>
    </row>
    <row r="101" spans="1:15" ht="20">
      <c r="A101" s="51"/>
      <c r="B101" s="20"/>
      <c r="G101" s="46"/>
      <c r="H101" s="96"/>
      <c r="I101" s="186"/>
      <c r="J101" s="33"/>
      <c r="K101" s="25"/>
      <c r="L101" s="25"/>
      <c r="M101" s="161"/>
      <c r="N101" s="25"/>
      <c r="O101" s="161">
        <f t="shared" si="2"/>
        <v>0</v>
      </c>
    </row>
    <row r="102" spans="1:15">
      <c r="A102" s="51"/>
      <c r="B102" s="66"/>
      <c r="C102" s="67"/>
      <c r="D102" s="67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68"/>
    </row>
    <row r="103" spans="1:15" ht="15" thickBot="1">
      <c r="A103" s="51"/>
      <c r="B103" s="69"/>
      <c r="C103" s="70"/>
      <c r="D103" s="70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2"/>
    </row>
    <row r="105" spans="1:15" ht="14" customHeight="1" thickBot="1"/>
    <row r="106" spans="1:15" ht="36">
      <c r="A106" s="15" t="s">
        <v>14</v>
      </c>
      <c r="B106" s="16" t="s">
        <v>15</v>
      </c>
      <c r="C106" s="17" t="s">
        <v>65</v>
      </c>
      <c r="D106" s="231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9"/>
    </row>
    <row r="107" spans="1:15">
      <c r="A107" s="15"/>
      <c r="B107" s="20"/>
      <c r="C107" s="80"/>
      <c r="D107" s="80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22"/>
    </row>
    <row r="108" spans="1:15" ht="15" thickBot="1">
      <c r="A108" s="15"/>
      <c r="B108" s="20"/>
      <c r="C108" s="80"/>
      <c r="D108" s="80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22"/>
    </row>
    <row r="109" spans="1:15" ht="18">
      <c r="A109" s="15"/>
      <c r="B109" s="4" t="s">
        <v>0</v>
      </c>
      <c r="C109" s="5" t="s">
        <v>1</v>
      </c>
      <c r="D109" s="5"/>
      <c r="E109" s="5" t="s">
        <v>2</v>
      </c>
      <c r="F109" s="5"/>
      <c r="G109" s="5" t="s">
        <v>3</v>
      </c>
      <c r="H109" s="5" t="s">
        <v>4</v>
      </c>
      <c r="I109" s="5" t="s">
        <v>5</v>
      </c>
      <c r="J109" s="5"/>
      <c r="K109" s="5" t="s">
        <v>6</v>
      </c>
      <c r="L109" s="5" t="s">
        <v>7</v>
      </c>
      <c r="M109" s="5" t="s">
        <v>8</v>
      </c>
      <c r="N109" s="5" t="s">
        <v>9</v>
      </c>
      <c r="O109" s="6" t="s">
        <v>10</v>
      </c>
    </row>
    <row r="110" spans="1:15" ht="15" thickBot="1">
      <c r="A110" s="15"/>
      <c r="B110" s="143" t="s">
        <v>65</v>
      </c>
      <c r="C110" s="8">
        <v>1200</v>
      </c>
      <c r="D110" s="8"/>
      <c r="E110" s="8">
        <v>10116</v>
      </c>
      <c r="F110" s="8"/>
      <c r="G110" s="8">
        <f>E110/C110</f>
        <v>8.43</v>
      </c>
      <c r="H110" s="8" t="e">
        <f>#REF!</f>
        <v>#REF!</v>
      </c>
      <c r="I110" s="8" t="e">
        <f>C110-H110</f>
        <v>#REF!</v>
      </c>
      <c r="J110" s="8"/>
      <c r="K110" s="8" t="e">
        <f>#REF!</f>
        <v>#REF!</v>
      </c>
      <c r="L110" s="8" t="e">
        <f>#REF!</f>
        <v>#REF!</v>
      </c>
      <c r="M110" s="8" t="e">
        <f>K110-L110</f>
        <v>#REF!</v>
      </c>
      <c r="N110" s="8"/>
      <c r="O110" s="9" t="e">
        <f>G110+#REF!</f>
        <v>#REF!</v>
      </c>
    </row>
    <row r="111" spans="1:15">
      <c r="A111" s="15"/>
      <c r="B111" s="20"/>
      <c r="C111" s="80"/>
      <c r="D111" s="80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22"/>
    </row>
    <row r="112" spans="1:15">
      <c r="A112" s="15"/>
      <c r="B112" s="20"/>
      <c r="C112" s="80"/>
      <c r="D112" s="80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22"/>
    </row>
    <row r="113" spans="1:15">
      <c r="A113" s="15"/>
      <c r="B113" s="20"/>
      <c r="C113" s="80"/>
      <c r="D113" s="80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22"/>
    </row>
    <row r="114" spans="1:15" ht="20">
      <c r="A114" s="15"/>
      <c r="B114" s="24" t="s">
        <v>16</v>
      </c>
      <c r="C114" s="82"/>
      <c r="D114" s="82"/>
      <c r="E114" s="83"/>
      <c r="F114" s="83"/>
      <c r="G114" s="81"/>
      <c r="H114" s="84" t="s">
        <v>17</v>
      </c>
      <c r="I114" s="85"/>
      <c r="J114" s="85"/>
      <c r="K114" s="86"/>
      <c r="L114" s="86"/>
      <c r="M114" s="86"/>
      <c r="N114" s="86"/>
      <c r="O114" s="22"/>
    </row>
    <row r="115" spans="1:15" ht="20">
      <c r="A115" s="15"/>
      <c r="B115" s="28" t="s">
        <v>18</v>
      </c>
      <c r="C115" s="29" t="s">
        <v>19</v>
      </c>
      <c r="D115" s="29" t="s">
        <v>20</v>
      </c>
      <c r="E115" s="30" t="s">
        <v>21</v>
      </c>
      <c r="F115" s="226"/>
      <c r="G115" s="31" t="s">
        <v>131</v>
      </c>
      <c r="H115" s="31" t="s">
        <v>18</v>
      </c>
      <c r="I115" s="31" t="s">
        <v>1</v>
      </c>
      <c r="J115" s="31" t="s">
        <v>22</v>
      </c>
      <c r="K115" s="31" t="s">
        <v>2</v>
      </c>
      <c r="L115" s="31" t="s">
        <v>23</v>
      </c>
      <c r="M115" s="31" t="s">
        <v>24</v>
      </c>
      <c r="N115" s="31" t="s">
        <v>9</v>
      </c>
      <c r="O115" s="31" t="s">
        <v>25</v>
      </c>
    </row>
    <row r="116" spans="1:15" ht="20">
      <c r="A116" s="15"/>
      <c r="B116" s="187" t="s">
        <v>65</v>
      </c>
      <c r="C116" s="188">
        <v>10116</v>
      </c>
      <c r="D116" s="188">
        <v>82.18</v>
      </c>
      <c r="E116" s="189" t="s">
        <v>28</v>
      </c>
      <c r="F116" s="229"/>
      <c r="G116" s="81" t="s">
        <v>91</v>
      </c>
      <c r="H116" s="190">
        <v>45783</v>
      </c>
      <c r="I116" s="191">
        <v>96</v>
      </c>
      <c r="J116" s="192">
        <v>1.85</v>
      </c>
      <c r="K116" s="192">
        <v>218.3</v>
      </c>
      <c r="L116" s="192">
        <v>218.3</v>
      </c>
      <c r="M116" s="192"/>
      <c r="N116" s="192"/>
      <c r="O116" s="192">
        <f>IF(K116&gt;0,(K116+N116)/I116,0)</f>
        <v>2.2739583333333333</v>
      </c>
    </row>
    <row r="117" spans="1:15" ht="20">
      <c r="A117" s="15"/>
      <c r="F117" s="229"/>
      <c r="G117" s="81" t="s">
        <v>92</v>
      </c>
      <c r="H117" s="190">
        <v>45783</v>
      </c>
      <c r="I117" s="191">
        <v>72</v>
      </c>
      <c r="J117" s="192">
        <v>2.17</v>
      </c>
      <c r="K117" s="192">
        <v>193.13</v>
      </c>
      <c r="L117" s="192">
        <v>193.13</v>
      </c>
      <c r="M117" s="192"/>
      <c r="N117" s="192"/>
      <c r="O117" s="192">
        <f t="shared" ref="O117:O126" si="3">IF(K117&gt;0,(K117+N117)/I117,0)</f>
        <v>2.6823611111111112</v>
      </c>
    </row>
    <row r="118" spans="1:15" ht="20">
      <c r="A118" s="15"/>
      <c r="B118" s="187"/>
      <c r="C118" s="188"/>
      <c r="E118" s="189"/>
      <c r="F118" s="229"/>
      <c r="G118" s="81" t="s">
        <v>93</v>
      </c>
      <c r="H118" s="190">
        <v>45783</v>
      </c>
      <c r="I118" s="191">
        <v>60</v>
      </c>
      <c r="J118" s="192">
        <v>2.4300000000000002</v>
      </c>
      <c r="K118" s="192">
        <v>179.82</v>
      </c>
      <c r="L118" s="192">
        <v>179.82</v>
      </c>
      <c r="M118" s="192"/>
      <c r="N118" s="192"/>
      <c r="O118" s="192">
        <f t="shared" si="3"/>
        <v>2.9969999999999999</v>
      </c>
    </row>
    <row r="119" spans="1:15" ht="20">
      <c r="A119" s="15"/>
      <c r="B119" s="187"/>
      <c r="C119" s="188"/>
      <c r="D119" s="188"/>
      <c r="E119" s="189"/>
      <c r="F119" s="229"/>
      <c r="G119" s="81" t="s">
        <v>94</v>
      </c>
      <c r="H119" s="190">
        <v>45783</v>
      </c>
      <c r="I119" s="191">
        <v>96</v>
      </c>
      <c r="J119" s="192">
        <v>1.93</v>
      </c>
      <c r="K119" s="192">
        <v>227.74</v>
      </c>
      <c r="L119" s="192">
        <v>227.74</v>
      </c>
      <c r="M119" s="192"/>
      <c r="N119" s="192"/>
      <c r="O119" s="192">
        <f t="shared" si="3"/>
        <v>2.3722916666666669</v>
      </c>
    </row>
    <row r="120" spans="1:15" ht="20">
      <c r="A120" s="15"/>
      <c r="B120" s="193"/>
      <c r="E120" s="189"/>
      <c r="F120" s="229"/>
      <c r="G120" s="81" t="s">
        <v>95</v>
      </c>
      <c r="H120" s="190">
        <v>45783</v>
      </c>
      <c r="I120" s="191">
        <v>96</v>
      </c>
      <c r="J120" s="192">
        <v>2.35</v>
      </c>
      <c r="K120" s="192">
        <v>277.3</v>
      </c>
      <c r="L120" s="192">
        <v>277.3</v>
      </c>
      <c r="M120" s="192"/>
      <c r="N120" s="192"/>
      <c r="O120" s="192">
        <f t="shared" si="3"/>
        <v>2.8885416666666668</v>
      </c>
    </row>
    <row r="121" spans="1:15" ht="20">
      <c r="A121" s="15"/>
      <c r="B121" s="41"/>
      <c r="C121" s="42"/>
      <c r="D121" s="42"/>
      <c r="E121" s="43"/>
      <c r="F121" s="86"/>
      <c r="G121" s="81" t="s">
        <v>96</v>
      </c>
      <c r="H121" s="192" t="s">
        <v>97</v>
      </c>
      <c r="I121" s="191">
        <f>16*12</f>
        <v>192</v>
      </c>
      <c r="J121" s="192">
        <v>2.09</v>
      </c>
      <c r="K121" s="192">
        <v>495.33</v>
      </c>
      <c r="L121" s="192">
        <v>495.33</v>
      </c>
      <c r="M121" s="192"/>
      <c r="N121" s="192"/>
      <c r="O121" s="192">
        <f t="shared" si="3"/>
        <v>2.5798437499999998</v>
      </c>
    </row>
    <row r="122" spans="1:15" ht="20">
      <c r="A122" s="15"/>
      <c r="B122" s="45"/>
      <c r="C122" s="81"/>
      <c r="D122" s="81"/>
      <c r="E122" s="81"/>
      <c r="F122" s="81"/>
      <c r="G122" s="81" t="s">
        <v>98</v>
      </c>
      <c r="H122" s="192" t="s">
        <v>97</v>
      </c>
      <c r="I122" s="191">
        <v>120</v>
      </c>
      <c r="J122" s="192">
        <v>1.86</v>
      </c>
      <c r="K122" s="192">
        <v>275.27999999999997</v>
      </c>
      <c r="L122" s="192">
        <v>275.27999999999997</v>
      </c>
      <c r="M122" s="192"/>
      <c r="N122" s="192"/>
      <c r="O122" s="192">
        <f t="shared" si="3"/>
        <v>2.2939999999999996</v>
      </c>
    </row>
    <row r="123" spans="1:15" ht="20">
      <c r="A123" s="15"/>
      <c r="B123" s="45"/>
      <c r="C123" s="81"/>
      <c r="D123" s="81"/>
      <c r="E123" s="81"/>
      <c r="F123" s="81"/>
      <c r="G123" s="46" t="s">
        <v>99</v>
      </c>
      <c r="H123" s="192" t="s">
        <v>97</v>
      </c>
      <c r="I123" s="191">
        <f>7*12</f>
        <v>84</v>
      </c>
      <c r="J123" s="192">
        <v>2.38</v>
      </c>
      <c r="K123" s="192">
        <v>247.52</v>
      </c>
      <c r="L123" s="192">
        <v>247.52</v>
      </c>
      <c r="M123" s="192"/>
      <c r="N123" s="192"/>
      <c r="O123" s="192">
        <f t="shared" si="3"/>
        <v>2.9466666666666668</v>
      </c>
    </row>
    <row r="124" spans="1:15" ht="20">
      <c r="A124" s="15"/>
      <c r="B124" s="20"/>
      <c r="C124" s="80"/>
      <c r="D124" s="80"/>
      <c r="E124" s="81"/>
      <c r="F124" s="81"/>
      <c r="G124" s="46" t="s">
        <v>100</v>
      </c>
      <c r="H124" s="192" t="s">
        <v>97</v>
      </c>
      <c r="I124" s="191">
        <f>15*12</f>
        <v>180</v>
      </c>
      <c r="J124" s="192">
        <v>1.78</v>
      </c>
      <c r="K124" s="192">
        <v>395.16</v>
      </c>
      <c r="L124" s="192">
        <v>395.16</v>
      </c>
      <c r="M124" s="192"/>
      <c r="N124" s="192"/>
      <c r="O124" s="192">
        <f t="shared" si="3"/>
        <v>2.1953333333333336</v>
      </c>
    </row>
    <row r="125" spans="1:15" ht="20">
      <c r="A125" s="15"/>
      <c r="B125" s="20"/>
      <c r="C125" s="80"/>
      <c r="D125" s="80"/>
      <c r="E125" s="81"/>
      <c r="F125" s="81"/>
      <c r="G125" s="46" t="s">
        <v>101</v>
      </c>
      <c r="H125" s="192" t="s">
        <v>97</v>
      </c>
      <c r="I125" s="191">
        <v>12</v>
      </c>
      <c r="J125" s="192">
        <v>2.33</v>
      </c>
      <c r="K125" s="192">
        <v>37.28</v>
      </c>
      <c r="L125" s="192">
        <v>37.28</v>
      </c>
      <c r="M125" s="192"/>
      <c r="N125" s="192"/>
      <c r="O125" s="192">
        <f t="shared" si="3"/>
        <v>3.1066666666666669</v>
      </c>
    </row>
    <row r="126" spans="1:15" ht="20">
      <c r="A126" s="15"/>
      <c r="B126" s="20"/>
      <c r="C126" s="80"/>
      <c r="D126" s="80"/>
      <c r="E126" s="81"/>
      <c r="F126" s="81"/>
      <c r="G126" s="46" t="s">
        <v>55</v>
      </c>
      <c r="H126" s="192" t="s">
        <v>97</v>
      </c>
      <c r="I126" s="191">
        <f>16*12</f>
        <v>192</v>
      </c>
      <c r="J126" s="192">
        <v>1.86</v>
      </c>
      <c r="K126" s="192">
        <v>440.82</v>
      </c>
      <c r="L126" s="192">
        <v>440.82</v>
      </c>
      <c r="M126" s="192"/>
      <c r="N126" s="192">
        <v>0</v>
      </c>
      <c r="O126" s="192">
        <f t="shared" si="3"/>
        <v>2.2959375</v>
      </c>
    </row>
    <row r="127" spans="1:15">
      <c r="A127" s="15"/>
      <c r="B127" s="20"/>
      <c r="C127" s="80"/>
      <c r="D127" s="80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22"/>
    </row>
    <row r="128" spans="1:15" ht="15" thickBot="1">
      <c r="A128" s="15"/>
      <c r="B128" s="47"/>
      <c r="C128" s="48"/>
      <c r="D128" s="48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50"/>
    </row>
    <row r="131" spans="1:15" ht="36">
      <c r="A131" s="51"/>
      <c r="B131" s="52" t="s">
        <v>40</v>
      </c>
      <c r="C131" s="10" t="s">
        <v>65</v>
      </c>
      <c r="D131" s="231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4"/>
    </row>
    <row r="132" spans="1:15">
      <c r="A132" s="51"/>
      <c r="B132" s="20"/>
      <c r="C132" s="80"/>
      <c r="D132" s="80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22"/>
    </row>
    <row r="133" spans="1:15" ht="15" thickBot="1">
      <c r="A133" s="51"/>
      <c r="B133" s="20"/>
      <c r="C133" s="80"/>
      <c r="D133" s="80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22"/>
    </row>
    <row r="134" spans="1:15" ht="18">
      <c r="A134" s="51"/>
      <c r="B134" s="55" t="s">
        <v>0</v>
      </c>
      <c r="C134" s="56" t="s">
        <v>1</v>
      </c>
      <c r="D134" s="56"/>
      <c r="E134" s="56" t="s">
        <v>2</v>
      </c>
      <c r="F134" s="56"/>
      <c r="G134" s="56" t="s">
        <v>3</v>
      </c>
      <c r="H134" s="56" t="s">
        <v>4</v>
      </c>
      <c r="I134" s="56" t="s">
        <v>5</v>
      </c>
      <c r="J134" s="56"/>
      <c r="K134" s="56" t="s">
        <v>6</v>
      </c>
      <c r="L134" s="56" t="s">
        <v>7</v>
      </c>
      <c r="M134" s="56" t="s">
        <v>8</v>
      </c>
      <c r="N134" s="56" t="s">
        <v>9</v>
      </c>
      <c r="O134" s="57" t="s">
        <v>10</v>
      </c>
    </row>
    <row r="135" spans="1:15" ht="15" thickBot="1">
      <c r="A135" s="51"/>
      <c r="B135" s="143" t="s">
        <v>65</v>
      </c>
      <c r="C135" s="8">
        <v>264</v>
      </c>
      <c r="D135" s="8"/>
      <c r="E135" s="8">
        <f>2072.52+360</f>
        <v>2432.52</v>
      </c>
      <c r="F135" s="8"/>
      <c r="G135" s="8">
        <f>E135/C135</f>
        <v>9.2140909090909098</v>
      </c>
      <c r="H135" s="8" t="e">
        <f>#REF!</f>
        <v>#REF!</v>
      </c>
      <c r="I135" s="8" t="e">
        <f>C135-H135</f>
        <v>#REF!</v>
      </c>
      <c r="J135" s="8"/>
      <c r="K135" s="8" t="e">
        <f>#REF!</f>
        <v>#REF!</v>
      </c>
      <c r="L135" s="8" t="e">
        <f>#REF!</f>
        <v>#REF!</v>
      </c>
      <c r="M135" s="8" t="e">
        <f>K135-L135</f>
        <v>#REF!</v>
      </c>
      <c r="N135" s="8"/>
      <c r="O135" s="9" t="e">
        <f>G135+#REF!</f>
        <v>#REF!</v>
      </c>
    </row>
    <row r="136" spans="1:15">
      <c r="A136" s="51"/>
      <c r="B136" s="20"/>
      <c r="C136" s="80"/>
      <c r="D136" s="80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22"/>
    </row>
    <row r="137" spans="1:15">
      <c r="A137" s="51"/>
      <c r="B137" s="20"/>
      <c r="C137" s="80"/>
      <c r="D137" s="80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22"/>
    </row>
    <row r="138" spans="1:15">
      <c r="A138" s="51"/>
      <c r="B138" s="20"/>
      <c r="C138" s="80"/>
      <c r="D138" s="80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22"/>
    </row>
    <row r="139" spans="1:15" ht="20">
      <c r="A139" s="51"/>
      <c r="B139" s="24" t="s">
        <v>16</v>
      </c>
      <c r="C139" s="82"/>
      <c r="D139" s="82"/>
      <c r="E139" s="83"/>
      <c r="F139" s="83"/>
      <c r="G139" s="81"/>
      <c r="H139" s="84" t="s">
        <v>17</v>
      </c>
      <c r="I139" s="85"/>
      <c r="J139" s="85"/>
      <c r="K139" s="86"/>
      <c r="L139" s="86"/>
      <c r="M139" s="86"/>
      <c r="N139" s="86"/>
      <c r="O139" s="22"/>
    </row>
    <row r="140" spans="1:15" ht="20">
      <c r="A140" s="51"/>
      <c r="B140" s="28" t="s">
        <v>18</v>
      </c>
      <c r="C140" s="29" t="s">
        <v>19</v>
      </c>
      <c r="D140" s="29" t="s">
        <v>20</v>
      </c>
      <c r="E140" s="30" t="s">
        <v>21</v>
      </c>
      <c r="F140" s="226"/>
      <c r="G140" s="31" t="s">
        <v>131</v>
      </c>
      <c r="H140" s="31" t="s">
        <v>18</v>
      </c>
      <c r="I140" s="31" t="s">
        <v>1</v>
      </c>
      <c r="J140" s="31" t="s">
        <v>22</v>
      </c>
      <c r="K140" s="31" t="s">
        <v>2</v>
      </c>
      <c r="L140" s="31" t="s">
        <v>23</v>
      </c>
      <c r="M140" s="31" t="s">
        <v>24</v>
      </c>
      <c r="N140" s="31" t="s">
        <v>9</v>
      </c>
      <c r="O140" s="31" t="s">
        <v>25</v>
      </c>
    </row>
    <row r="141" spans="1:15" ht="20">
      <c r="A141" s="51"/>
      <c r="B141" s="187" t="s">
        <v>102</v>
      </c>
      <c r="C141" s="188">
        <v>2072.52</v>
      </c>
      <c r="D141" s="188">
        <v>18.82</v>
      </c>
      <c r="E141" s="189" t="s">
        <v>28</v>
      </c>
      <c r="F141" s="229"/>
      <c r="G141" s="81"/>
      <c r="H141" s="194" t="s">
        <v>103</v>
      </c>
      <c r="I141" s="195">
        <v>264</v>
      </c>
      <c r="J141" s="196">
        <v>2.23</v>
      </c>
      <c r="K141" s="196">
        <v>336.73</v>
      </c>
      <c r="L141" s="196">
        <v>336.73</v>
      </c>
      <c r="M141" s="197"/>
      <c r="N141" s="197">
        <v>87.12</v>
      </c>
      <c r="O141" s="197">
        <f>IF(K141&gt;0,(K141+N141)/I141,0)</f>
        <v>1.6054924242424242</v>
      </c>
    </row>
    <row r="142" spans="1:15" ht="20">
      <c r="A142" s="51"/>
      <c r="B142" s="198">
        <v>45827</v>
      </c>
      <c r="C142" s="188">
        <v>360</v>
      </c>
      <c r="D142" s="188"/>
      <c r="E142" s="189" t="s">
        <v>30</v>
      </c>
      <c r="F142" s="229"/>
      <c r="G142" s="81"/>
      <c r="H142" s="117"/>
      <c r="I142" s="93"/>
      <c r="J142" s="82"/>
      <c r="K142" s="82"/>
      <c r="L142" s="82"/>
      <c r="M142" s="94"/>
      <c r="N142" s="94"/>
      <c r="O142" s="94">
        <f t="shared" ref="O142:O145" si="4">IF(K142&gt;0,(K142+N142)/I142,0)</f>
        <v>0</v>
      </c>
    </row>
    <row r="143" spans="1:15" ht="20">
      <c r="A143" s="51"/>
      <c r="F143" s="229"/>
      <c r="G143" s="81"/>
      <c r="H143" s="117"/>
      <c r="I143" s="93"/>
      <c r="J143" s="82"/>
      <c r="K143" s="82"/>
      <c r="L143" s="82"/>
      <c r="M143" s="94"/>
      <c r="N143" s="94"/>
      <c r="O143" s="94">
        <f t="shared" si="4"/>
        <v>0</v>
      </c>
    </row>
    <row r="144" spans="1:15" ht="20">
      <c r="A144" s="51"/>
      <c r="B144" s="187"/>
      <c r="C144" s="188"/>
      <c r="D144" s="188"/>
      <c r="E144" s="189"/>
      <c r="F144" s="229"/>
      <c r="G144" s="81"/>
      <c r="H144" s="117"/>
      <c r="I144" s="82"/>
      <c r="J144" s="82"/>
      <c r="K144" s="82"/>
      <c r="L144" s="82"/>
      <c r="M144" s="94"/>
      <c r="N144" s="94"/>
      <c r="O144" s="94">
        <f t="shared" si="4"/>
        <v>0</v>
      </c>
    </row>
    <row r="145" spans="1:15" ht="20">
      <c r="A145" s="51"/>
      <c r="B145" s="193"/>
      <c r="C145" s="188"/>
      <c r="D145" s="188"/>
      <c r="E145" s="189"/>
      <c r="F145" s="229"/>
      <c r="G145" s="81"/>
      <c r="H145" s="117"/>
      <c r="I145" s="82"/>
      <c r="J145" s="82"/>
      <c r="K145" s="82"/>
      <c r="L145" s="82"/>
      <c r="M145" s="94"/>
      <c r="N145" s="94"/>
      <c r="O145" s="94">
        <f t="shared" si="4"/>
        <v>0</v>
      </c>
    </row>
    <row r="146" spans="1:15">
      <c r="A146" s="51"/>
      <c r="B146" s="66"/>
      <c r="C146" s="199"/>
      <c r="D146" s="199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68"/>
    </row>
    <row r="147" spans="1:15" ht="15" thickBot="1">
      <c r="A147" s="51"/>
      <c r="B147" s="69"/>
      <c r="C147" s="70"/>
      <c r="D147" s="70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2"/>
    </row>
    <row r="150" spans="1:15" ht="25" customHeight="1"/>
    <row r="152" spans="1:15" ht="35">
      <c r="A152" s="73"/>
      <c r="B152" s="74" t="s">
        <v>42</v>
      </c>
      <c r="C152" s="11">
        <v>45881</v>
      </c>
      <c r="D152" s="232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6"/>
    </row>
    <row r="153" spans="1:15">
      <c r="A153" s="73"/>
      <c r="B153" s="20"/>
      <c r="C153" s="80"/>
      <c r="D153" s="80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22"/>
    </row>
    <row r="154" spans="1:15" ht="15" thickBot="1">
      <c r="A154" s="73"/>
      <c r="B154" s="20"/>
      <c r="C154" s="80"/>
      <c r="D154" s="80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22"/>
    </row>
    <row r="155" spans="1:15" ht="21" thickBot="1">
      <c r="A155" s="73"/>
      <c r="B155" s="77" t="s">
        <v>0</v>
      </c>
      <c r="C155" s="78" t="s">
        <v>1</v>
      </c>
      <c r="D155" s="78"/>
      <c r="E155" s="78" t="s">
        <v>2</v>
      </c>
      <c r="F155" s="78"/>
      <c r="G155" s="78" t="s">
        <v>3</v>
      </c>
      <c r="H155" s="78" t="s">
        <v>4</v>
      </c>
      <c r="I155" s="78" t="s">
        <v>5</v>
      </c>
      <c r="J155" s="78"/>
      <c r="K155" s="78" t="s">
        <v>6</v>
      </c>
      <c r="L155" s="78" t="s">
        <v>7</v>
      </c>
      <c r="M155" s="78" t="s">
        <v>8</v>
      </c>
      <c r="N155" s="31" t="s">
        <v>9</v>
      </c>
      <c r="O155" s="79" t="s">
        <v>10</v>
      </c>
    </row>
    <row r="156" spans="1:15" ht="36" thickBot="1">
      <c r="A156" s="73"/>
      <c r="B156" s="11">
        <v>45881</v>
      </c>
      <c r="C156" s="8">
        <v>996</v>
      </c>
      <c r="D156" s="8"/>
      <c r="E156" s="8">
        <v>11025.72</v>
      </c>
      <c r="F156" s="8"/>
      <c r="G156" s="8">
        <f>E156/C156</f>
        <v>11.069999999999999</v>
      </c>
      <c r="H156" s="8" t="e">
        <f>#REF!</f>
        <v>#REF!</v>
      </c>
      <c r="I156" s="8" t="e">
        <f>C156-H156</f>
        <v>#REF!</v>
      </c>
      <c r="J156" s="8"/>
      <c r="K156" s="8" t="e">
        <f>#REF!</f>
        <v>#REF!</v>
      </c>
      <c r="L156" s="8" t="e">
        <f>#REF!</f>
        <v>#REF!</v>
      </c>
      <c r="M156" s="8" t="e">
        <f>K156-L156</f>
        <v>#REF!</v>
      </c>
      <c r="N156" s="8"/>
      <c r="O156" s="9" t="e">
        <f>G156+#REF!</f>
        <v>#REF!</v>
      </c>
    </row>
    <row r="157" spans="1:15">
      <c r="A157" s="73"/>
      <c r="B157" s="20"/>
      <c r="C157" s="80"/>
      <c r="D157" s="80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22"/>
    </row>
    <row r="158" spans="1:15">
      <c r="A158" s="73"/>
      <c r="B158" s="20"/>
      <c r="C158" s="80"/>
      <c r="D158" s="80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22"/>
    </row>
    <row r="159" spans="1:15">
      <c r="A159" s="73"/>
      <c r="B159" s="20"/>
      <c r="C159" s="80"/>
      <c r="D159" s="80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22"/>
    </row>
    <row r="160" spans="1:15" ht="20">
      <c r="A160" s="73"/>
      <c r="B160" s="24" t="s">
        <v>16</v>
      </c>
      <c r="C160" s="82"/>
      <c r="D160" s="82"/>
      <c r="E160" s="83"/>
      <c r="F160" s="83"/>
      <c r="G160" s="81"/>
      <c r="H160" s="84" t="s">
        <v>17</v>
      </c>
      <c r="I160" s="85"/>
      <c r="J160" s="85"/>
      <c r="K160" s="86"/>
      <c r="L160" s="86"/>
      <c r="M160" s="86"/>
      <c r="N160" s="86"/>
      <c r="O160" s="22"/>
    </row>
    <row r="161" spans="1:15" ht="20">
      <c r="A161" s="73"/>
      <c r="B161" s="28" t="s">
        <v>18</v>
      </c>
      <c r="C161" s="29" t="s">
        <v>19</v>
      </c>
      <c r="D161" s="29" t="s">
        <v>20</v>
      </c>
      <c r="E161" s="30" t="s">
        <v>21</v>
      </c>
      <c r="F161" s="226"/>
      <c r="G161" s="31" t="s">
        <v>131</v>
      </c>
      <c r="H161" s="31" t="s">
        <v>18</v>
      </c>
      <c r="I161" s="31" t="s">
        <v>1</v>
      </c>
      <c r="J161" s="31" t="s">
        <v>22</v>
      </c>
      <c r="K161" s="31" t="s">
        <v>2</v>
      </c>
      <c r="L161" s="31" t="s">
        <v>23</v>
      </c>
      <c r="M161" s="31" t="s">
        <v>24</v>
      </c>
      <c r="N161" s="31" t="s">
        <v>9</v>
      </c>
      <c r="O161" s="31" t="s">
        <v>25</v>
      </c>
    </row>
    <row r="162" spans="1:15" ht="20">
      <c r="A162" s="73"/>
      <c r="B162" s="63" t="s">
        <v>104</v>
      </c>
      <c r="C162" s="85">
        <f>0.3*E156</f>
        <v>3307.7159999999999</v>
      </c>
      <c r="D162" s="85">
        <v>30.04</v>
      </c>
      <c r="E162" s="61" t="s">
        <v>28</v>
      </c>
      <c r="F162" s="228"/>
      <c r="G162" s="81" t="s">
        <v>52</v>
      </c>
      <c r="H162" s="130">
        <v>45938</v>
      </c>
      <c r="I162" s="131">
        <v>72</v>
      </c>
      <c r="J162" s="132">
        <v>1.69</v>
      </c>
      <c r="K162" s="132">
        <v>153.22999999999999</v>
      </c>
      <c r="L162" s="132">
        <v>153.22999999999999</v>
      </c>
      <c r="M162" s="133"/>
      <c r="N162" s="133"/>
      <c r="O162" s="133">
        <f t="shared" ref="O162:O176" si="5">IF(K162&gt;0,(K162+N162)/I162,0)</f>
        <v>2.1281944444444445</v>
      </c>
    </row>
    <row r="163" spans="1:15" ht="20">
      <c r="A163" s="73"/>
      <c r="B163" s="32">
        <v>46014</v>
      </c>
      <c r="C163" s="85">
        <v>7718</v>
      </c>
      <c r="D163" s="85">
        <v>70.09</v>
      </c>
      <c r="E163" s="61" t="s">
        <v>34</v>
      </c>
      <c r="F163" s="228"/>
      <c r="G163" s="81" t="s">
        <v>53</v>
      </c>
      <c r="H163" s="130">
        <v>45938</v>
      </c>
      <c r="I163" s="131">
        <v>72</v>
      </c>
      <c r="J163" s="132">
        <v>1.87</v>
      </c>
      <c r="K163" s="132">
        <v>169.55</v>
      </c>
      <c r="L163" s="132">
        <v>169.55</v>
      </c>
      <c r="M163" s="133"/>
      <c r="N163" s="133"/>
      <c r="O163" s="133">
        <f t="shared" si="5"/>
        <v>2.3548611111111111</v>
      </c>
    </row>
    <row r="164" spans="1:15" ht="20">
      <c r="A164" s="73"/>
      <c r="C164" s="1"/>
      <c r="D164" s="1"/>
      <c r="F164" s="228"/>
      <c r="G164" s="81" t="s">
        <v>27</v>
      </c>
      <c r="H164" s="130">
        <v>45938</v>
      </c>
      <c r="I164" s="131">
        <v>108</v>
      </c>
      <c r="J164" s="132">
        <v>1.69</v>
      </c>
      <c r="K164" s="132">
        <v>230.49</v>
      </c>
      <c r="L164" s="132">
        <v>230.49</v>
      </c>
      <c r="M164" s="133"/>
      <c r="N164" s="133"/>
      <c r="O164" s="133">
        <f t="shared" si="5"/>
        <v>2.1341666666666668</v>
      </c>
    </row>
    <row r="165" spans="1:15" ht="20">
      <c r="A165" s="73"/>
      <c r="B165" s="63"/>
      <c r="C165" s="85"/>
      <c r="D165" s="85"/>
      <c r="E165" s="61"/>
      <c r="F165" s="228"/>
      <c r="G165" s="81" t="s">
        <v>54</v>
      </c>
      <c r="H165" s="130">
        <v>45938</v>
      </c>
      <c r="I165" s="131">
        <v>96</v>
      </c>
      <c r="J165" s="132">
        <v>1.87</v>
      </c>
      <c r="K165" s="132">
        <v>225.64</v>
      </c>
      <c r="L165" s="132">
        <v>225.64</v>
      </c>
      <c r="M165" s="133"/>
      <c r="N165" s="133"/>
      <c r="O165" s="133">
        <f t="shared" si="5"/>
        <v>2.3504166666666664</v>
      </c>
    </row>
    <row r="166" spans="1:15" ht="20">
      <c r="A166" s="73"/>
      <c r="B166" s="64"/>
      <c r="C166" s="85"/>
      <c r="D166" s="85"/>
      <c r="G166" s="81" t="s">
        <v>55</v>
      </c>
      <c r="H166" s="130">
        <v>45938</v>
      </c>
      <c r="I166" s="131">
        <v>96</v>
      </c>
      <c r="J166" s="132">
        <v>1.28</v>
      </c>
      <c r="K166" s="132">
        <v>156.38999999999999</v>
      </c>
      <c r="L166" s="132">
        <v>156.38999999999999</v>
      </c>
      <c r="M166" s="133"/>
      <c r="N166" s="133"/>
      <c r="O166" s="133">
        <f t="shared" si="5"/>
        <v>1.6290624999999999</v>
      </c>
    </row>
    <row r="167" spans="1:15" ht="20">
      <c r="A167" s="73"/>
      <c r="B167" s="41"/>
      <c r="C167" s="42"/>
      <c r="D167" s="42"/>
      <c r="E167" s="43"/>
      <c r="F167" s="86"/>
      <c r="G167" s="95" t="s">
        <v>27</v>
      </c>
      <c r="H167" s="130">
        <v>45938</v>
      </c>
      <c r="I167" s="131">
        <v>108</v>
      </c>
      <c r="J167" s="132">
        <v>1.69</v>
      </c>
      <c r="K167" s="132">
        <v>230.49</v>
      </c>
      <c r="L167" s="132">
        <v>230.49</v>
      </c>
      <c r="M167" s="133"/>
      <c r="N167" s="133"/>
      <c r="O167" s="133">
        <f t="shared" si="5"/>
        <v>2.1341666666666668</v>
      </c>
    </row>
    <row r="168" spans="1:15" ht="20">
      <c r="A168" s="73"/>
      <c r="B168" s="45"/>
      <c r="C168" s="81"/>
      <c r="D168" s="81"/>
      <c r="E168" s="81"/>
      <c r="F168" s="81"/>
      <c r="G168" s="95" t="s">
        <v>56</v>
      </c>
      <c r="H168" s="130">
        <v>45938</v>
      </c>
      <c r="I168" s="131">
        <v>96</v>
      </c>
      <c r="J168" s="132">
        <v>1.69</v>
      </c>
      <c r="K168" s="132">
        <v>203.93</v>
      </c>
      <c r="L168" s="132">
        <v>203.93</v>
      </c>
      <c r="M168" s="133"/>
      <c r="N168" s="133"/>
      <c r="O168" s="133">
        <f t="shared" si="5"/>
        <v>2.1242708333333336</v>
      </c>
    </row>
    <row r="169" spans="1:15" ht="20">
      <c r="A169" s="73"/>
      <c r="B169" s="45"/>
      <c r="C169" s="81"/>
      <c r="D169" s="81"/>
      <c r="E169" s="81"/>
      <c r="F169" s="81"/>
      <c r="G169" s="95" t="s">
        <v>57</v>
      </c>
      <c r="H169" s="130">
        <v>45938</v>
      </c>
      <c r="I169" s="131">
        <v>96</v>
      </c>
      <c r="J169" s="132">
        <v>1.37</v>
      </c>
      <c r="K169" s="132">
        <v>167.39</v>
      </c>
      <c r="L169" s="132">
        <v>167.39</v>
      </c>
      <c r="M169" s="133"/>
      <c r="N169" s="133"/>
      <c r="O169" s="133">
        <f t="shared" si="5"/>
        <v>1.7436458333333331</v>
      </c>
    </row>
    <row r="170" spans="1:15" ht="20">
      <c r="A170" s="73"/>
      <c r="B170" s="20"/>
      <c r="C170" s="80"/>
      <c r="D170" s="80"/>
      <c r="E170" s="81"/>
      <c r="F170" s="81"/>
      <c r="G170" s="95" t="s">
        <v>58</v>
      </c>
      <c r="H170" s="130">
        <v>45938</v>
      </c>
      <c r="I170" s="131">
        <v>72</v>
      </c>
      <c r="J170" s="132">
        <v>2</v>
      </c>
      <c r="K170" s="132">
        <v>181.33</v>
      </c>
      <c r="L170" s="132">
        <v>181.33</v>
      </c>
      <c r="M170" s="133"/>
      <c r="N170" s="133"/>
      <c r="O170" s="133">
        <f t="shared" si="5"/>
        <v>2.5184722222222224</v>
      </c>
    </row>
    <row r="171" spans="1:15" ht="20">
      <c r="A171" s="73"/>
      <c r="B171" s="20"/>
      <c r="C171" s="80"/>
      <c r="D171" s="80"/>
      <c r="E171" s="81"/>
      <c r="F171" s="81"/>
      <c r="G171" s="95" t="s">
        <v>53</v>
      </c>
      <c r="H171" s="130">
        <v>45938</v>
      </c>
      <c r="I171" s="131">
        <v>60</v>
      </c>
      <c r="J171" s="132">
        <v>1.87</v>
      </c>
      <c r="K171" s="132">
        <v>142.91999999999999</v>
      </c>
      <c r="L171" s="132">
        <v>142.91999999999999</v>
      </c>
      <c r="M171" s="133"/>
      <c r="N171" s="133"/>
      <c r="O171" s="133">
        <f t="shared" si="5"/>
        <v>2.3819999999999997</v>
      </c>
    </row>
    <row r="172" spans="1:15" ht="20">
      <c r="A172" s="73"/>
      <c r="B172" s="20"/>
      <c r="C172" s="80"/>
      <c r="D172" s="80"/>
      <c r="E172" s="81"/>
      <c r="F172" s="81"/>
      <c r="G172" s="95" t="s">
        <v>59</v>
      </c>
      <c r="H172" s="130">
        <v>45946</v>
      </c>
      <c r="I172" s="131">
        <v>24</v>
      </c>
      <c r="J172" s="132">
        <v>1.58</v>
      </c>
      <c r="K172" s="132">
        <v>46.61</v>
      </c>
      <c r="L172" s="132">
        <v>46.61</v>
      </c>
      <c r="M172" s="133"/>
      <c r="N172" s="133"/>
      <c r="O172" s="133">
        <f t="shared" si="5"/>
        <v>1.9420833333333334</v>
      </c>
    </row>
    <row r="173" spans="1:15" ht="20">
      <c r="A173" s="73"/>
      <c r="B173" s="20"/>
      <c r="C173" s="80"/>
      <c r="D173" s="80"/>
      <c r="E173" s="81"/>
      <c r="F173" s="81"/>
      <c r="G173" s="95" t="s">
        <v>53</v>
      </c>
      <c r="H173" s="130">
        <v>45946</v>
      </c>
      <c r="I173" s="131">
        <v>12</v>
      </c>
      <c r="J173" s="132">
        <v>1.87</v>
      </c>
      <c r="K173" s="132">
        <v>28.05</v>
      </c>
      <c r="L173" s="132">
        <v>28.05</v>
      </c>
      <c r="M173" s="133"/>
      <c r="N173" s="133"/>
      <c r="O173" s="133">
        <f t="shared" si="5"/>
        <v>2.3374999999999999</v>
      </c>
    </row>
    <row r="174" spans="1:15" ht="20">
      <c r="A174" s="73"/>
      <c r="B174" s="20"/>
      <c r="C174" s="80"/>
      <c r="D174" s="80"/>
      <c r="E174" s="81"/>
      <c r="F174" s="81"/>
      <c r="G174" s="95" t="s">
        <v>55</v>
      </c>
      <c r="H174" s="130">
        <v>45946</v>
      </c>
      <c r="I174" s="131">
        <v>24</v>
      </c>
      <c r="J174" s="132">
        <v>1.28</v>
      </c>
      <c r="K174" s="132">
        <v>37.76</v>
      </c>
      <c r="L174" s="132">
        <v>37.76</v>
      </c>
      <c r="M174" s="133"/>
      <c r="N174" s="133"/>
      <c r="O174" s="133">
        <f t="shared" si="5"/>
        <v>1.5733333333333333</v>
      </c>
    </row>
    <row r="175" spans="1:15" ht="20">
      <c r="A175" s="73"/>
      <c r="B175" s="20"/>
      <c r="C175" s="80"/>
      <c r="D175" s="80"/>
      <c r="E175" s="81"/>
      <c r="F175" s="81"/>
      <c r="G175" s="95" t="s">
        <v>27</v>
      </c>
      <c r="H175" s="130">
        <v>45946</v>
      </c>
      <c r="I175" s="131">
        <v>36</v>
      </c>
      <c r="J175" s="132">
        <v>1.57</v>
      </c>
      <c r="K175" s="132">
        <v>69.08</v>
      </c>
      <c r="L175" s="132">
        <v>69.08</v>
      </c>
      <c r="M175" s="133"/>
      <c r="N175" s="133"/>
      <c r="O175" s="133">
        <f t="shared" si="5"/>
        <v>1.9188888888888889</v>
      </c>
    </row>
    <row r="176" spans="1:15" ht="20">
      <c r="A176" s="73"/>
      <c r="B176" s="20"/>
      <c r="C176" s="80"/>
      <c r="D176" s="80"/>
      <c r="E176" s="81"/>
      <c r="F176" s="81"/>
      <c r="G176" s="81" t="s">
        <v>61</v>
      </c>
      <c r="H176" s="130">
        <v>45946</v>
      </c>
      <c r="I176" s="131">
        <v>24</v>
      </c>
      <c r="J176" s="132">
        <v>1.96</v>
      </c>
      <c r="K176" s="132">
        <v>57.82</v>
      </c>
      <c r="L176" s="132">
        <v>57.82</v>
      </c>
      <c r="M176" s="133"/>
      <c r="N176" s="133"/>
      <c r="O176" s="133">
        <f t="shared" si="5"/>
        <v>2.4091666666666667</v>
      </c>
    </row>
    <row r="177" spans="1:17">
      <c r="A177" s="97"/>
      <c r="B177" s="98"/>
      <c r="C177" s="3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99"/>
    </row>
    <row r="178" spans="1:17" ht="15" thickBot="1">
      <c r="A178" s="100"/>
      <c r="B178" s="101"/>
      <c r="C178" s="102"/>
      <c r="D178" s="102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3"/>
    </row>
    <row r="180" spans="1:17">
      <c r="C180" s="1"/>
      <c r="D180" s="1"/>
    </row>
    <row r="182" spans="1:17" ht="35">
      <c r="A182" s="168"/>
      <c r="B182" s="169" t="s">
        <v>86</v>
      </c>
      <c r="C182" s="201">
        <v>45787</v>
      </c>
      <c r="D182" s="231"/>
      <c r="E182" s="170"/>
      <c r="F182" s="170"/>
      <c r="G182" s="170"/>
      <c r="H182" s="170"/>
      <c r="I182" s="170"/>
      <c r="J182" s="170"/>
      <c r="K182" s="170"/>
      <c r="L182" s="170"/>
      <c r="M182" s="170"/>
      <c r="N182" s="170"/>
      <c r="O182" s="171"/>
      <c r="P182" s="38"/>
    </row>
    <row r="183" spans="1:17">
      <c r="A183" s="168"/>
      <c r="B183" s="20"/>
      <c r="C183" s="80"/>
      <c r="D183" s="80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22"/>
      <c r="P183" s="38"/>
    </row>
    <row r="184" spans="1:17" ht="15" thickBot="1">
      <c r="A184" s="168"/>
      <c r="B184" s="20"/>
      <c r="C184" s="80"/>
      <c r="D184" s="80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22"/>
      <c r="P184" s="38"/>
    </row>
    <row r="185" spans="1:17" ht="19" thickBot="1">
      <c r="A185" s="168"/>
      <c r="B185" s="172" t="s">
        <v>0</v>
      </c>
      <c r="C185" s="173" t="s">
        <v>1</v>
      </c>
      <c r="D185" s="173"/>
      <c r="E185" s="173" t="s">
        <v>2</v>
      </c>
      <c r="F185" s="173"/>
      <c r="G185" s="173" t="s">
        <v>3</v>
      </c>
      <c r="H185" s="173" t="s">
        <v>4</v>
      </c>
      <c r="I185" s="173" t="s">
        <v>5</v>
      </c>
      <c r="J185" s="173"/>
      <c r="K185" s="173" t="s">
        <v>6</v>
      </c>
      <c r="L185" s="173" t="s">
        <v>7</v>
      </c>
      <c r="M185" s="173" t="s">
        <v>8</v>
      </c>
      <c r="N185" s="173"/>
      <c r="O185" s="174" t="s">
        <v>10</v>
      </c>
      <c r="P185" s="38"/>
      <c r="Q185" s="1">
        <v>52.2</v>
      </c>
    </row>
    <row r="186" spans="1:17" ht="36" thickBot="1">
      <c r="A186" s="168"/>
      <c r="B186" s="201">
        <v>45787</v>
      </c>
      <c r="C186" s="8">
        <v>2704</v>
      </c>
      <c r="D186" s="8"/>
      <c r="E186" s="8">
        <v>32285.759999999998</v>
      </c>
      <c r="F186" s="8"/>
      <c r="G186" s="8">
        <f>E186/C186</f>
        <v>11.94</v>
      </c>
      <c r="H186" s="8" t="e">
        <f>#REF!</f>
        <v>#REF!</v>
      </c>
      <c r="I186" s="8" t="e">
        <f>C186-H186</f>
        <v>#REF!</v>
      </c>
      <c r="J186" s="8"/>
      <c r="K186" s="8" t="e">
        <f>#REF!</f>
        <v>#REF!</v>
      </c>
      <c r="L186" s="8" t="e">
        <f>#REF!</f>
        <v>#REF!</v>
      </c>
      <c r="M186" s="8" t="e">
        <f>K186-L186</f>
        <v>#REF!</v>
      </c>
      <c r="N186" s="8"/>
      <c r="O186" s="9" t="e">
        <f>G186+#REF!</f>
        <v>#REF!</v>
      </c>
      <c r="P186" s="38"/>
      <c r="Q186" s="1" t="e">
        <f>#REF!</f>
        <v>#REF!</v>
      </c>
    </row>
    <row r="187" spans="1:17">
      <c r="A187" s="168"/>
      <c r="B187" s="20"/>
      <c r="C187" s="80"/>
      <c r="D187" s="80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22"/>
      <c r="P187" s="38"/>
      <c r="Q187" s="1">
        <v>2.2000000000000002</v>
      </c>
    </row>
    <row r="188" spans="1:17">
      <c r="A188" s="168"/>
      <c r="B188" s="20"/>
      <c r="C188" s="80"/>
      <c r="D188" s="80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22"/>
      <c r="P188" s="38"/>
      <c r="Q188" s="1">
        <v>6.62</v>
      </c>
    </row>
    <row r="189" spans="1:17">
      <c r="A189" s="168"/>
      <c r="B189" s="20"/>
      <c r="C189" s="80"/>
      <c r="D189" s="80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22"/>
      <c r="P189" s="38"/>
      <c r="Q189" s="1">
        <f>0.15*Q185</f>
        <v>7.83</v>
      </c>
    </row>
    <row r="190" spans="1:17" ht="20">
      <c r="A190" s="168"/>
      <c r="B190" s="24" t="s">
        <v>16</v>
      </c>
      <c r="C190" s="82"/>
      <c r="D190" s="82"/>
      <c r="E190" s="83"/>
      <c r="F190" s="83"/>
      <c r="G190" s="81"/>
      <c r="H190" s="84" t="s">
        <v>87</v>
      </c>
      <c r="I190" s="85"/>
      <c r="J190" s="85"/>
      <c r="K190" s="86"/>
      <c r="L190" s="86"/>
      <c r="M190" s="86"/>
      <c r="N190" s="86"/>
      <c r="O190" s="22"/>
      <c r="P190" s="38"/>
      <c r="Q190" s="168" t="e">
        <f t="shared" ref="Q190" si="6">Q185-Q186-Q187-Q188-Q189</f>
        <v>#REF!</v>
      </c>
    </row>
    <row r="191" spans="1:17" ht="20">
      <c r="A191" s="168"/>
      <c r="B191" s="28" t="s">
        <v>18</v>
      </c>
      <c r="C191" s="29" t="s">
        <v>19</v>
      </c>
      <c r="D191" s="29" t="s">
        <v>20</v>
      </c>
      <c r="E191" s="30" t="s">
        <v>21</v>
      </c>
      <c r="F191" s="226"/>
      <c r="G191" s="31" t="s">
        <v>131</v>
      </c>
      <c r="H191" s="87" t="s">
        <v>18</v>
      </c>
      <c r="I191" s="87" t="s">
        <v>1</v>
      </c>
      <c r="J191" s="87" t="s">
        <v>22</v>
      </c>
      <c r="K191" s="87" t="s">
        <v>2</v>
      </c>
      <c r="L191" s="87" t="s">
        <v>23</v>
      </c>
      <c r="M191" s="87" t="s">
        <v>24</v>
      </c>
      <c r="N191" s="87" t="s">
        <v>9</v>
      </c>
      <c r="O191" s="87" t="s">
        <v>25</v>
      </c>
      <c r="P191" s="38"/>
      <c r="Q191" s="1">
        <v>15</v>
      </c>
    </row>
    <row r="192" spans="1:17" ht="20">
      <c r="A192" s="168"/>
      <c r="B192" s="63" t="s">
        <v>65</v>
      </c>
      <c r="C192" s="85">
        <f>0.3*E186</f>
        <v>9685.7279999999992</v>
      </c>
      <c r="D192" s="85">
        <v>87.97</v>
      </c>
      <c r="E192" s="61" t="s">
        <v>28</v>
      </c>
      <c r="F192" s="228"/>
      <c r="G192" s="81" t="s">
        <v>78</v>
      </c>
      <c r="H192" s="157">
        <v>45870</v>
      </c>
      <c r="I192" s="202">
        <v>352</v>
      </c>
      <c r="J192" s="203">
        <v>1.7</v>
      </c>
      <c r="K192" s="204">
        <v>671.5</v>
      </c>
      <c r="L192" s="204">
        <v>671.5</v>
      </c>
      <c r="M192" s="204"/>
      <c r="N192" s="204">
        <v>0</v>
      </c>
      <c r="O192" s="155">
        <f>IF(K192&gt;0,(K192+N192)/I192,0)</f>
        <v>1.9076704545454546</v>
      </c>
      <c r="P192" s="38"/>
      <c r="Q192" s="1" t="e">
        <f>Q190*Q191</f>
        <v>#REF!</v>
      </c>
    </row>
    <row r="193" spans="1:17" ht="20">
      <c r="A193" s="168"/>
      <c r="B193" s="32">
        <v>45807</v>
      </c>
      <c r="C193" s="85">
        <v>22599.49</v>
      </c>
      <c r="D193" s="85">
        <v>205.24</v>
      </c>
      <c r="E193" s="61" t="s">
        <v>30</v>
      </c>
      <c r="F193" s="228"/>
      <c r="G193" s="65" t="s">
        <v>51</v>
      </c>
      <c r="H193" s="157">
        <v>45877</v>
      </c>
      <c r="I193" s="202">
        <v>624</v>
      </c>
      <c r="J193" s="204">
        <v>1.7</v>
      </c>
      <c r="K193" s="204">
        <v>1088.55</v>
      </c>
      <c r="L193" s="204">
        <v>1088.55</v>
      </c>
      <c r="M193" s="204"/>
      <c r="N193" s="204">
        <v>0</v>
      </c>
      <c r="O193" s="155">
        <f t="shared" ref="O193:O198" si="7">IF(K193&gt;0,(K193+N193)/I193,0)</f>
        <v>1.7444711538461537</v>
      </c>
      <c r="P193" s="38"/>
      <c r="Q193" s="1">
        <v>-300</v>
      </c>
    </row>
    <row r="194" spans="1:17" ht="20">
      <c r="A194" s="168"/>
      <c r="B194" s="63" t="s">
        <v>105</v>
      </c>
      <c r="C194" s="85">
        <v>0.54</v>
      </c>
      <c r="D194" s="85"/>
      <c r="E194" s="61" t="s">
        <v>32</v>
      </c>
      <c r="F194" s="228"/>
      <c r="G194" s="81" t="s">
        <v>62</v>
      </c>
      <c r="H194" s="205">
        <v>45904</v>
      </c>
      <c r="I194" s="206">
        <v>560</v>
      </c>
      <c r="J194" s="207">
        <v>1.6</v>
      </c>
      <c r="K194" s="208">
        <v>887.84500000000003</v>
      </c>
      <c r="L194" s="208">
        <v>887.84500000000003</v>
      </c>
      <c r="M194" s="208"/>
      <c r="N194" s="208">
        <v>0</v>
      </c>
      <c r="O194" s="209">
        <f t="shared" si="7"/>
        <v>1.5854375000000001</v>
      </c>
      <c r="P194" s="38"/>
      <c r="Q194" s="1" t="e">
        <f>Q192+Q193</f>
        <v>#REF!</v>
      </c>
    </row>
    <row r="195" spans="1:17" ht="20">
      <c r="A195" s="168"/>
      <c r="C195" s="1"/>
      <c r="D195" s="1"/>
      <c r="F195" s="228"/>
      <c r="G195" s="46" t="s">
        <v>63</v>
      </c>
      <c r="H195" s="210">
        <v>45905</v>
      </c>
      <c r="I195" s="211">
        <v>560</v>
      </c>
      <c r="J195" s="212">
        <v>1.6</v>
      </c>
      <c r="K195" s="213">
        <v>902.55</v>
      </c>
      <c r="L195" s="213">
        <v>902.55</v>
      </c>
      <c r="M195" s="213"/>
      <c r="N195" s="213">
        <v>0</v>
      </c>
      <c r="O195" s="214">
        <f t="shared" si="7"/>
        <v>1.6116964285714286</v>
      </c>
      <c r="P195" s="38"/>
    </row>
    <row r="196" spans="1:17" ht="20">
      <c r="A196" s="168"/>
      <c r="B196" s="175"/>
      <c r="C196" s="176"/>
      <c r="D196" s="176"/>
      <c r="E196" s="61"/>
      <c r="F196" s="228"/>
      <c r="G196" s="65" t="s">
        <v>83</v>
      </c>
      <c r="H196" s="158">
        <v>45912</v>
      </c>
      <c r="I196" s="211">
        <v>208</v>
      </c>
      <c r="J196" s="212">
        <v>2.16</v>
      </c>
      <c r="K196" s="213">
        <v>446.85</v>
      </c>
      <c r="L196" s="213">
        <v>446.85</v>
      </c>
      <c r="M196" s="213"/>
      <c r="N196" s="213">
        <v>0</v>
      </c>
      <c r="O196" s="214">
        <f t="shared" si="7"/>
        <v>2.1483173076923077</v>
      </c>
    </row>
    <row r="197" spans="1:17" ht="20">
      <c r="A197" s="168"/>
      <c r="B197" s="41"/>
      <c r="C197" s="42"/>
      <c r="D197" s="42"/>
      <c r="E197" s="43"/>
      <c r="F197" s="86"/>
      <c r="G197" s="65" t="s">
        <v>84</v>
      </c>
      <c r="H197" s="158">
        <v>45912</v>
      </c>
      <c r="I197" s="211">
        <v>208</v>
      </c>
      <c r="J197" s="212">
        <v>2.16</v>
      </c>
      <c r="K197" s="213">
        <v>446.85</v>
      </c>
      <c r="L197" s="213">
        <v>446.85</v>
      </c>
      <c r="M197" s="213"/>
      <c r="N197" s="213">
        <v>0</v>
      </c>
      <c r="O197" s="214">
        <f t="shared" si="7"/>
        <v>2.1483173076923077</v>
      </c>
    </row>
    <row r="198" spans="1:17" ht="20">
      <c r="A198" s="168"/>
      <c r="B198" s="45"/>
      <c r="C198" s="81"/>
      <c r="D198" s="81"/>
      <c r="E198" s="81"/>
      <c r="F198" s="81"/>
      <c r="G198" s="215" t="s">
        <v>85</v>
      </c>
      <c r="H198" s="158">
        <v>45912</v>
      </c>
      <c r="I198" s="211">
        <v>192</v>
      </c>
      <c r="J198" s="212">
        <v>2.16</v>
      </c>
      <c r="K198" s="213">
        <v>412.39</v>
      </c>
      <c r="L198" s="213">
        <v>412.39</v>
      </c>
      <c r="M198" s="213"/>
      <c r="N198" s="213"/>
      <c r="O198" s="214">
        <f t="shared" si="7"/>
        <v>2.1478645833333334</v>
      </c>
    </row>
    <row r="199" spans="1:17">
      <c r="A199" s="168"/>
      <c r="B199" s="20"/>
      <c r="C199" s="80"/>
      <c r="D199" s="80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22"/>
    </row>
    <row r="200" spans="1:17" ht="15" thickBot="1">
      <c r="A200" s="168"/>
      <c r="B200" s="177"/>
      <c r="C200" s="178"/>
      <c r="D200" s="178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80"/>
    </row>
    <row r="202" spans="1:17" ht="26" customHeight="1" thickBot="1">
      <c r="A202" s="13"/>
      <c r="B202" s="13"/>
      <c r="C202" s="14"/>
      <c r="D202" s="14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</row>
    <row r="203" spans="1:17" ht="36">
      <c r="A203" s="15" t="s">
        <v>14</v>
      </c>
      <c r="B203" s="16" t="s">
        <v>15</v>
      </c>
      <c r="C203" s="17" t="s">
        <v>106</v>
      </c>
      <c r="D203" s="231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9"/>
    </row>
    <row r="204" spans="1:17">
      <c r="A204" s="15"/>
      <c r="B204" s="20"/>
      <c r="O204" s="22"/>
    </row>
    <row r="205" spans="1:17" ht="15" thickBot="1">
      <c r="A205" s="15"/>
      <c r="B205" s="20"/>
      <c r="O205" s="22"/>
    </row>
    <row r="206" spans="1:17" ht="18">
      <c r="A206" s="15"/>
      <c r="B206" s="4" t="s">
        <v>0</v>
      </c>
      <c r="C206" s="5" t="s">
        <v>1</v>
      </c>
      <c r="D206" s="5"/>
      <c r="E206" s="5" t="s">
        <v>2</v>
      </c>
      <c r="F206" s="5"/>
      <c r="G206" s="5" t="s">
        <v>3</v>
      </c>
      <c r="H206" s="5" t="s">
        <v>4</v>
      </c>
      <c r="I206" s="5" t="s">
        <v>5</v>
      </c>
      <c r="J206" s="5"/>
      <c r="K206" s="5" t="s">
        <v>6</v>
      </c>
      <c r="L206" s="5" t="s">
        <v>7</v>
      </c>
      <c r="M206" s="5" t="s">
        <v>8</v>
      </c>
      <c r="N206" s="5" t="s">
        <v>9</v>
      </c>
      <c r="O206" s="6" t="s">
        <v>10</v>
      </c>
    </row>
    <row r="207" spans="1:17" ht="15" thickBot="1">
      <c r="A207" s="15"/>
      <c r="B207" s="143" t="s">
        <v>106</v>
      </c>
      <c r="C207" s="8">
        <v>10512</v>
      </c>
      <c r="D207" s="8"/>
      <c r="E207" s="8">
        <v>72007.199999999997</v>
      </c>
      <c r="F207" s="8"/>
      <c r="G207" s="8">
        <f>E207/C207</f>
        <v>6.85</v>
      </c>
      <c r="H207" s="8" t="e">
        <f>#REF!</f>
        <v>#REF!</v>
      </c>
      <c r="I207" s="8" t="e">
        <f>C207-H207</f>
        <v>#REF!</v>
      </c>
      <c r="J207" s="8"/>
      <c r="K207" s="8" t="e">
        <f>#REF!</f>
        <v>#REF!</v>
      </c>
      <c r="L207" s="8" t="e">
        <f>#REF!</f>
        <v>#REF!</v>
      </c>
      <c r="M207" s="8" t="e">
        <f>K207-L207</f>
        <v>#REF!</v>
      </c>
      <c r="N207" s="8"/>
      <c r="O207" s="9" t="e">
        <f>G207+#REF!</f>
        <v>#REF!</v>
      </c>
    </row>
    <row r="208" spans="1:17">
      <c r="A208" s="15"/>
      <c r="B208" s="20"/>
      <c r="O208" s="22"/>
    </row>
    <row r="209" spans="1:15">
      <c r="A209" s="15"/>
      <c r="B209" s="20"/>
      <c r="O209" s="22"/>
    </row>
    <row r="210" spans="1:15">
      <c r="A210" s="15"/>
      <c r="B210" s="20"/>
      <c r="O210" s="22"/>
    </row>
    <row r="211" spans="1:15" ht="20">
      <c r="A211" s="15"/>
      <c r="B211" s="24" t="s">
        <v>16</v>
      </c>
      <c r="C211" s="25"/>
      <c r="D211" s="25"/>
      <c r="E211" s="26"/>
      <c r="F211" s="26"/>
      <c r="H211" s="27" t="s">
        <v>17</v>
      </c>
      <c r="I211" s="25"/>
      <c r="J211" s="25"/>
      <c r="K211" s="26"/>
      <c r="L211" s="26"/>
      <c r="M211" s="26"/>
      <c r="N211" s="26"/>
      <c r="O211" s="22"/>
    </row>
    <row r="212" spans="1:15" ht="20">
      <c r="A212" s="15"/>
      <c r="B212" s="28" t="s">
        <v>18</v>
      </c>
      <c r="C212" s="29" t="s">
        <v>19</v>
      </c>
      <c r="D212" s="29" t="s">
        <v>20</v>
      </c>
      <c r="E212" s="30" t="s">
        <v>21</v>
      </c>
      <c r="F212" s="226"/>
      <c r="G212" s="31" t="s">
        <v>131</v>
      </c>
      <c r="H212" s="31" t="s">
        <v>18</v>
      </c>
      <c r="I212" s="31" t="s">
        <v>1</v>
      </c>
      <c r="J212" s="31" t="s">
        <v>22</v>
      </c>
      <c r="K212" s="31" t="s">
        <v>2</v>
      </c>
      <c r="L212" s="31" t="s">
        <v>23</v>
      </c>
      <c r="M212" s="31" t="s">
        <v>24</v>
      </c>
      <c r="N212" s="31" t="s">
        <v>9</v>
      </c>
      <c r="O212" s="31" t="s">
        <v>25</v>
      </c>
    </row>
    <row r="213" spans="1:15" ht="20">
      <c r="A213" s="15"/>
      <c r="B213" s="62" t="s">
        <v>106</v>
      </c>
      <c r="C213" s="60">
        <v>25538.98</v>
      </c>
      <c r="D213" s="144">
        <v>231.94</v>
      </c>
      <c r="E213" s="216" t="s">
        <v>28</v>
      </c>
      <c r="F213" s="230"/>
      <c r="G213" s="1" t="s">
        <v>37</v>
      </c>
      <c r="H213" s="153">
        <v>45882</v>
      </c>
      <c r="I213" s="154">
        <v>168</v>
      </c>
      <c r="J213" s="155">
        <v>2.33</v>
      </c>
      <c r="K213" s="155">
        <v>460.3</v>
      </c>
      <c r="L213" s="155">
        <v>460.3</v>
      </c>
      <c r="M213" s="155"/>
      <c r="N213" s="155"/>
      <c r="O213" s="155">
        <f t="shared" ref="O213:O259" si="8">IF(K213&gt;0,(K213+N213)/I213,0)</f>
        <v>2.7398809523809526</v>
      </c>
    </row>
    <row r="214" spans="1:15" ht="20">
      <c r="A214" s="15"/>
      <c r="B214" s="62" t="s">
        <v>107</v>
      </c>
      <c r="C214" s="60">
        <v>21948.98</v>
      </c>
      <c r="D214" s="60">
        <v>199.33</v>
      </c>
      <c r="E214" s="216" t="s">
        <v>30</v>
      </c>
      <c r="F214" s="230"/>
      <c r="G214" s="1" t="s">
        <v>35</v>
      </c>
      <c r="H214" s="153">
        <v>45882</v>
      </c>
      <c r="I214" s="154">
        <v>264</v>
      </c>
      <c r="J214" s="155">
        <v>2.33</v>
      </c>
      <c r="K214" s="155">
        <v>727.13</v>
      </c>
      <c r="L214" s="155">
        <v>727.13</v>
      </c>
      <c r="M214" s="155"/>
      <c r="N214" s="155"/>
      <c r="O214" s="155">
        <f t="shared" si="8"/>
        <v>2.7542803030303031</v>
      </c>
    </row>
    <row r="215" spans="1:15" ht="20">
      <c r="A215" s="15"/>
      <c r="B215" s="59">
        <v>46021</v>
      </c>
      <c r="C215" s="60">
        <v>24519.24</v>
      </c>
      <c r="D215" s="60">
        <v>222.68</v>
      </c>
      <c r="E215" s="216" t="s">
        <v>32</v>
      </c>
      <c r="F215" s="230"/>
      <c r="G215" s="1" t="s">
        <v>53</v>
      </c>
      <c r="H215" s="153">
        <v>45882</v>
      </c>
      <c r="I215" s="154">
        <v>108</v>
      </c>
      <c r="J215" s="155">
        <v>2.09</v>
      </c>
      <c r="K215" s="155">
        <v>263.33999999999997</v>
      </c>
      <c r="L215" s="155">
        <v>263.33999999999997</v>
      </c>
      <c r="M215" s="155"/>
      <c r="N215" s="155"/>
      <c r="O215" s="155">
        <f t="shared" si="8"/>
        <v>2.438333333333333</v>
      </c>
    </row>
    <row r="216" spans="1:15" ht="20">
      <c r="A216" s="15"/>
      <c r="B216" s="59"/>
      <c r="C216" s="60"/>
      <c r="D216" s="60"/>
      <c r="E216" s="216"/>
      <c r="F216" s="230"/>
      <c r="G216" s="1" t="s">
        <v>54</v>
      </c>
      <c r="H216" s="153">
        <v>45882</v>
      </c>
      <c r="I216" s="154">
        <v>216</v>
      </c>
      <c r="J216" s="155">
        <v>2.09</v>
      </c>
      <c r="K216" s="155">
        <v>526.67999999999995</v>
      </c>
      <c r="L216" s="155">
        <v>526.67999999999995</v>
      </c>
      <c r="M216" s="155"/>
      <c r="N216" s="155"/>
      <c r="O216" s="155">
        <f t="shared" si="8"/>
        <v>2.438333333333333</v>
      </c>
    </row>
    <row r="217" spans="1:15" ht="20">
      <c r="A217" s="15"/>
      <c r="B217" s="217"/>
      <c r="C217" s="60"/>
      <c r="D217" s="60"/>
      <c r="E217" s="216"/>
      <c r="F217" s="230"/>
      <c r="G217" s="1" t="s">
        <v>27</v>
      </c>
      <c r="H217" s="153">
        <v>45882</v>
      </c>
      <c r="I217" s="154">
        <v>228</v>
      </c>
      <c r="J217" s="155">
        <v>2.6</v>
      </c>
      <c r="K217" s="155">
        <v>702.34</v>
      </c>
      <c r="L217" s="155">
        <v>702.34</v>
      </c>
      <c r="M217" s="155"/>
      <c r="N217" s="155"/>
      <c r="O217" s="155">
        <f t="shared" si="8"/>
        <v>3.0804385964912284</v>
      </c>
    </row>
    <row r="218" spans="1:15" ht="20">
      <c r="A218" s="15"/>
      <c r="B218" s="41"/>
      <c r="C218" s="42"/>
      <c r="D218" s="42"/>
      <c r="E218" s="43"/>
      <c r="F218" s="86"/>
      <c r="G218" s="1" t="s">
        <v>108</v>
      </c>
      <c r="H218" s="157">
        <v>45897</v>
      </c>
      <c r="I218" s="154">
        <v>108</v>
      </c>
      <c r="J218" s="155">
        <v>2</v>
      </c>
      <c r="K218" s="155">
        <v>266</v>
      </c>
      <c r="L218" s="155">
        <v>266</v>
      </c>
      <c r="M218" s="155"/>
      <c r="N218" s="155"/>
      <c r="O218" s="155">
        <f t="shared" si="8"/>
        <v>2.4629629629629628</v>
      </c>
    </row>
    <row r="219" spans="1:15" ht="20">
      <c r="A219" s="15"/>
      <c r="B219" s="45"/>
      <c r="C219" s="1"/>
      <c r="D219" s="1"/>
      <c r="G219" s="1" t="s">
        <v>109</v>
      </c>
      <c r="H219" s="157">
        <v>45897</v>
      </c>
      <c r="I219" s="154">
        <v>24</v>
      </c>
      <c r="J219" s="155">
        <v>1.46</v>
      </c>
      <c r="K219" s="155">
        <v>43.8</v>
      </c>
      <c r="L219" s="155">
        <v>43.8</v>
      </c>
      <c r="M219" s="155"/>
      <c r="N219" s="155"/>
      <c r="O219" s="155">
        <f t="shared" si="8"/>
        <v>1.825</v>
      </c>
    </row>
    <row r="220" spans="1:15" ht="20">
      <c r="A220" s="15"/>
      <c r="B220" s="45"/>
      <c r="C220" s="1"/>
      <c r="D220" s="1"/>
      <c r="G220" s="46" t="s">
        <v>110</v>
      </c>
      <c r="H220" s="157">
        <v>45897</v>
      </c>
      <c r="I220" s="154">
        <v>108</v>
      </c>
      <c r="J220" s="155">
        <v>1.4</v>
      </c>
      <c r="K220" s="155">
        <v>186.2</v>
      </c>
      <c r="L220" s="155">
        <v>186.2</v>
      </c>
      <c r="M220" s="155"/>
      <c r="N220" s="155"/>
      <c r="O220" s="155">
        <f t="shared" si="8"/>
        <v>1.7240740740740739</v>
      </c>
    </row>
    <row r="221" spans="1:15" ht="20">
      <c r="A221" s="15"/>
      <c r="B221" s="20"/>
      <c r="G221" s="46" t="s">
        <v>111</v>
      </c>
      <c r="H221" s="157">
        <v>45897</v>
      </c>
      <c r="I221" s="154">
        <v>96</v>
      </c>
      <c r="J221" s="155">
        <v>2</v>
      </c>
      <c r="K221" s="155">
        <v>236</v>
      </c>
      <c r="L221" s="155">
        <v>236</v>
      </c>
      <c r="M221" s="155"/>
      <c r="N221" s="155"/>
      <c r="O221" s="155">
        <f t="shared" si="8"/>
        <v>2.4583333333333335</v>
      </c>
    </row>
    <row r="222" spans="1:15" ht="20">
      <c r="A222" s="15"/>
      <c r="B222" s="20"/>
      <c r="G222" s="46" t="s">
        <v>53</v>
      </c>
      <c r="H222" s="157">
        <v>45897</v>
      </c>
      <c r="I222" s="154">
        <v>60</v>
      </c>
      <c r="J222" s="155">
        <v>1.91</v>
      </c>
      <c r="K222" s="155">
        <v>141.34</v>
      </c>
      <c r="L222" s="155">
        <v>141.34</v>
      </c>
      <c r="M222" s="155"/>
      <c r="N222" s="155"/>
      <c r="O222" s="155">
        <f t="shared" si="8"/>
        <v>2.3556666666666666</v>
      </c>
    </row>
    <row r="223" spans="1:15" ht="20">
      <c r="A223" s="15"/>
      <c r="B223" s="20"/>
      <c r="G223" s="46" t="s">
        <v>112</v>
      </c>
      <c r="H223" s="157">
        <v>45897</v>
      </c>
      <c r="I223" s="154">
        <v>132</v>
      </c>
      <c r="J223" s="155">
        <v>1.46</v>
      </c>
      <c r="K223" s="155">
        <v>236.52</v>
      </c>
      <c r="L223" s="155">
        <v>236.52</v>
      </c>
      <c r="M223" s="155"/>
      <c r="N223" s="155">
        <v>0</v>
      </c>
      <c r="O223" s="155">
        <f t="shared" si="8"/>
        <v>1.791818181818182</v>
      </c>
    </row>
    <row r="224" spans="1:15" ht="20">
      <c r="A224" s="15"/>
      <c r="B224" s="20"/>
      <c r="G224" s="46" t="s">
        <v>62</v>
      </c>
      <c r="H224" s="158">
        <v>45904</v>
      </c>
      <c r="I224" s="218">
        <v>468</v>
      </c>
      <c r="J224" s="183">
        <v>1.6</v>
      </c>
      <c r="K224" s="183">
        <v>989.31299999999999</v>
      </c>
      <c r="L224" s="183">
        <v>989.31299999999999</v>
      </c>
      <c r="M224" s="147"/>
      <c r="N224" s="183">
        <v>0</v>
      </c>
      <c r="O224" s="147">
        <f t="shared" si="8"/>
        <v>2.1139166666666664</v>
      </c>
    </row>
    <row r="225" spans="1:16" ht="20">
      <c r="A225" s="15"/>
      <c r="B225" s="219"/>
      <c r="C225" s="220"/>
      <c r="G225" s="46" t="s">
        <v>63</v>
      </c>
      <c r="H225" s="158">
        <v>45905</v>
      </c>
      <c r="I225" s="218">
        <v>360</v>
      </c>
      <c r="J225" s="183">
        <v>1.6</v>
      </c>
      <c r="K225" s="183">
        <v>773.64</v>
      </c>
      <c r="L225" s="183">
        <v>773.64</v>
      </c>
      <c r="M225" s="147"/>
      <c r="N225" s="183">
        <v>0</v>
      </c>
      <c r="O225" s="147">
        <f t="shared" si="8"/>
        <v>2.149</v>
      </c>
    </row>
    <row r="226" spans="1:16" ht="20">
      <c r="A226" s="15"/>
      <c r="B226" s="219"/>
      <c r="C226" s="220"/>
      <c r="G226" s="46" t="s">
        <v>113</v>
      </c>
      <c r="H226" s="158">
        <v>45912</v>
      </c>
      <c r="I226" s="218">
        <v>324</v>
      </c>
      <c r="J226" s="183">
        <v>1.38</v>
      </c>
      <c r="K226" s="183">
        <v>547.86</v>
      </c>
      <c r="L226" s="183">
        <v>547.86</v>
      </c>
      <c r="M226" s="147"/>
      <c r="N226" s="183"/>
      <c r="O226" s="147">
        <f t="shared" si="8"/>
        <v>1.6909259259259259</v>
      </c>
      <c r="P226" s="1" t="s">
        <v>114</v>
      </c>
    </row>
    <row r="227" spans="1:16" ht="20">
      <c r="A227" s="15"/>
      <c r="B227" s="219"/>
      <c r="C227" s="220"/>
      <c r="G227" s="46" t="s">
        <v>115</v>
      </c>
      <c r="H227" s="158">
        <v>45912</v>
      </c>
      <c r="I227" s="218">
        <v>300</v>
      </c>
      <c r="J227" s="183">
        <v>1.73</v>
      </c>
      <c r="K227" s="183">
        <v>636.64</v>
      </c>
      <c r="L227" s="183">
        <v>636.64</v>
      </c>
      <c r="M227" s="147"/>
      <c r="N227" s="183"/>
      <c r="O227" s="147">
        <f t="shared" si="8"/>
        <v>2.1221333333333332</v>
      </c>
      <c r="P227" s="1" t="s">
        <v>114</v>
      </c>
    </row>
    <row r="228" spans="1:16" ht="20">
      <c r="A228" s="15"/>
      <c r="B228" s="219"/>
      <c r="C228" s="220"/>
      <c r="G228" s="46" t="s">
        <v>116</v>
      </c>
      <c r="H228" s="158">
        <v>45912</v>
      </c>
      <c r="I228" s="218">
        <v>228</v>
      </c>
      <c r="J228" s="183">
        <v>2.1800000000000002</v>
      </c>
      <c r="K228" s="183">
        <v>608.22</v>
      </c>
      <c r="L228" s="183">
        <v>608.22</v>
      </c>
      <c r="M228" s="147"/>
      <c r="N228" s="183"/>
      <c r="O228" s="147">
        <f t="shared" si="8"/>
        <v>2.6676315789473684</v>
      </c>
      <c r="P228" s="1" t="s">
        <v>114</v>
      </c>
    </row>
    <row r="229" spans="1:16" ht="20">
      <c r="A229" s="15"/>
      <c r="B229" s="20"/>
      <c r="G229" s="46" t="s">
        <v>39</v>
      </c>
      <c r="H229" s="158">
        <v>45912</v>
      </c>
      <c r="I229" s="218">
        <v>168</v>
      </c>
      <c r="J229" s="183">
        <v>2.1800000000000002</v>
      </c>
      <c r="K229" s="183">
        <v>449.08</v>
      </c>
      <c r="L229" s="183">
        <v>449.08</v>
      </c>
      <c r="M229" s="147"/>
      <c r="N229" s="183"/>
      <c r="O229" s="147">
        <f t="shared" si="8"/>
        <v>2.6730952380952382</v>
      </c>
      <c r="P229" s="1" t="s">
        <v>114</v>
      </c>
    </row>
    <row r="230" spans="1:16" ht="20">
      <c r="A230" s="15"/>
      <c r="B230" s="20"/>
      <c r="G230" s="46" t="s">
        <v>38</v>
      </c>
      <c r="H230" s="158">
        <v>45912</v>
      </c>
      <c r="I230" s="218">
        <v>300</v>
      </c>
      <c r="J230" s="183">
        <v>2.08</v>
      </c>
      <c r="K230" s="183">
        <v>765.44</v>
      </c>
      <c r="L230" s="183">
        <v>765.44</v>
      </c>
      <c r="M230" s="147"/>
      <c r="N230" s="183"/>
      <c r="O230" s="147">
        <f t="shared" si="8"/>
        <v>2.5514666666666668</v>
      </c>
      <c r="P230" s="1" t="s">
        <v>114</v>
      </c>
    </row>
    <row r="231" spans="1:16" ht="20">
      <c r="A231" s="15"/>
      <c r="B231" s="20"/>
      <c r="G231" s="46" t="s">
        <v>39</v>
      </c>
      <c r="H231" s="158">
        <v>45912</v>
      </c>
      <c r="I231" s="218">
        <v>96</v>
      </c>
      <c r="J231" s="183">
        <v>2.1800000000000002</v>
      </c>
      <c r="K231" s="183">
        <v>237.45</v>
      </c>
      <c r="L231" s="183">
        <v>237.45</v>
      </c>
      <c r="M231" s="147"/>
      <c r="N231" s="183"/>
      <c r="O231" s="147">
        <f t="shared" si="8"/>
        <v>2.4734374999999997</v>
      </c>
    </row>
    <row r="232" spans="1:16" ht="20">
      <c r="A232" s="15"/>
      <c r="B232" s="20"/>
      <c r="G232" s="46" t="s">
        <v>90</v>
      </c>
      <c r="H232" s="158">
        <v>45912</v>
      </c>
      <c r="I232" s="218">
        <v>156</v>
      </c>
      <c r="J232" s="183">
        <v>2.36</v>
      </c>
      <c r="K232" s="183">
        <v>426.11</v>
      </c>
      <c r="L232" s="183">
        <v>426.11</v>
      </c>
      <c r="M232" s="147"/>
      <c r="N232" s="183"/>
      <c r="O232" s="147">
        <f t="shared" si="8"/>
        <v>2.7314743589743591</v>
      </c>
    </row>
    <row r="233" spans="1:16" ht="20">
      <c r="A233" s="15"/>
      <c r="B233" s="20"/>
      <c r="G233" s="46" t="s">
        <v>55</v>
      </c>
      <c r="H233" s="158">
        <v>45912</v>
      </c>
      <c r="I233" s="218">
        <v>216</v>
      </c>
      <c r="J233" s="183">
        <v>1.5</v>
      </c>
      <c r="K233" s="183">
        <v>372.80700000000002</v>
      </c>
      <c r="L233" s="183">
        <v>372.80700000000002</v>
      </c>
      <c r="M233" s="147"/>
      <c r="N233" s="183"/>
      <c r="O233" s="147">
        <f t="shared" si="8"/>
        <v>1.7259583333333335</v>
      </c>
    </row>
    <row r="234" spans="1:16" ht="20">
      <c r="A234" s="15"/>
      <c r="B234" s="20"/>
      <c r="G234" s="46" t="s">
        <v>56</v>
      </c>
      <c r="H234" s="158">
        <v>45912</v>
      </c>
      <c r="I234" s="218">
        <v>192</v>
      </c>
      <c r="J234" s="183">
        <v>1.72</v>
      </c>
      <c r="K234" s="183">
        <v>380.49</v>
      </c>
      <c r="L234" s="183">
        <v>380.49</v>
      </c>
      <c r="M234" s="147"/>
      <c r="N234" s="183"/>
      <c r="O234" s="147">
        <f t="shared" si="8"/>
        <v>1.98171875</v>
      </c>
    </row>
    <row r="235" spans="1:16" ht="20">
      <c r="A235" s="15"/>
      <c r="B235" s="20"/>
      <c r="G235" s="46" t="s">
        <v>27</v>
      </c>
      <c r="H235" s="158">
        <v>45912</v>
      </c>
      <c r="I235" s="218">
        <v>192</v>
      </c>
      <c r="J235" s="183">
        <v>1.72</v>
      </c>
      <c r="K235" s="183">
        <v>382.78</v>
      </c>
      <c r="L235" s="183">
        <v>382.78</v>
      </c>
      <c r="M235" s="147"/>
      <c r="N235" s="183"/>
      <c r="O235" s="147">
        <f t="shared" si="8"/>
        <v>1.9936458333333331</v>
      </c>
    </row>
    <row r="236" spans="1:16" ht="20">
      <c r="A236" s="15"/>
      <c r="B236" s="20"/>
      <c r="G236" s="46" t="s">
        <v>33</v>
      </c>
      <c r="H236" s="158">
        <v>45912</v>
      </c>
      <c r="I236" s="218">
        <v>156</v>
      </c>
      <c r="J236" s="183">
        <v>1.73</v>
      </c>
      <c r="K236" s="183">
        <v>332.16</v>
      </c>
      <c r="L236" s="183">
        <v>332.16</v>
      </c>
      <c r="M236" s="147"/>
      <c r="N236" s="183"/>
      <c r="O236" s="147">
        <f t="shared" si="8"/>
        <v>2.1292307692307695</v>
      </c>
    </row>
    <row r="237" spans="1:16" ht="20">
      <c r="A237" s="15"/>
      <c r="B237" s="20"/>
      <c r="G237" s="46" t="s">
        <v>37</v>
      </c>
      <c r="H237" s="158">
        <v>45912</v>
      </c>
      <c r="I237" s="218">
        <v>120</v>
      </c>
      <c r="J237" s="183">
        <v>1.5</v>
      </c>
      <c r="K237" s="183">
        <v>220.5</v>
      </c>
      <c r="L237" s="183">
        <v>220.5</v>
      </c>
      <c r="M237" s="147"/>
      <c r="N237" s="183"/>
      <c r="O237" s="147">
        <f t="shared" si="8"/>
        <v>1.8374999999999999</v>
      </c>
      <c r="P237" s="1" t="s">
        <v>114</v>
      </c>
    </row>
    <row r="238" spans="1:16" ht="20">
      <c r="A238" s="15"/>
      <c r="B238" s="20"/>
      <c r="G238" s="46" t="s">
        <v>36</v>
      </c>
      <c r="H238" s="158">
        <v>45912</v>
      </c>
      <c r="I238" s="218">
        <v>144</v>
      </c>
      <c r="J238" s="183">
        <v>1.69</v>
      </c>
      <c r="K238" s="183">
        <v>299.13</v>
      </c>
      <c r="L238" s="183">
        <v>299.13</v>
      </c>
      <c r="M238" s="147"/>
      <c r="N238" s="183"/>
      <c r="O238" s="147">
        <f t="shared" si="8"/>
        <v>2.0772916666666665</v>
      </c>
      <c r="P238" s="1" t="s">
        <v>114</v>
      </c>
    </row>
    <row r="239" spans="1:16" ht="20">
      <c r="A239" s="15"/>
      <c r="B239" s="20"/>
      <c r="G239" s="46" t="s">
        <v>39</v>
      </c>
      <c r="H239" s="158">
        <v>45912</v>
      </c>
      <c r="I239" s="218">
        <v>84</v>
      </c>
      <c r="J239" s="183">
        <v>2.1800000000000002</v>
      </c>
      <c r="K239" s="183">
        <v>224.54</v>
      </c>
      <c r="L239" s="183">
        <v>224.54</v>
      </c>
      <c r="M239" s="147"/>
      <c r="N239" s="183"/>
      <c r="O239" s="147">
        <f t="shared" si="8"/>
        <v>2.6730952380952382</v>
      </c>
      <c r="P239" s="1" t="s">
        <v>114</v>
      </c>
    </row>
    <row r="240" spans="1:16" ht="20">
      <c r="A240" s="15"/>
      <c r="B240" s="20"/>
      <c r="G240" s="46" t="s">
        <v>55</v>
      </c>
      <c r="H240" s="158">
        <v>45912</v>
      </c>
      <c r="I240" s="218">
        <v>168</v>
      </c>
      <c r="J240" s="183">
        <v>1.5</v>
      </c>
      <c r="K240" s="183">
        <v>309</v>
      </c>
      <c r="L240" s="183">
        <v>309</v>
      </c>
      <c r="M240" s="147"/>
      <c r="N240" s="183"/>
      <c r="O240" s="147">
        <f t="shared" si="8"/>
        <v>1.8392857142857142</v>
      </c>
      <c r="P240" s="1" t="s">
        <v>114</v>
      </c>
    </row>
    <row r="241" spans="1:15" ht="20">
      <c r="A241" s="15"/>
      <c r="B241" s="20"/>
      <c r="C241" s="221"/>
      <c r="E241" s="1" t="s">
        <v>117</v>
      </c>
      <c r="G241" s="65" t="s">
        <v>83</v>
      </c>
      <c r="H241" s="158">
        <v>45912</v>
      </c>
      <c r="I241" s="218">
        <v>156</v>
      </c>
      <c r="J241" s="183">
        <v>2.16</v>
      </c>
      <c r="K241" s="183">
        <v>446.85</v>
      </c>
      <c r="L241" s="183">
        <v>446.85</v>
      </c>
      <c r="M241" s="147"/>
      <c r="N241" s="183"/>
      <c r="O241" s="147">
        <f t="shared" si="8"/>
        <v>2.8644230769230772</v>
      </c>
    </row>
    <row r="242" spans="1:15" ht="20">
      <c r="A242" s="15"/>
      <c r="B242" s="20"/>
      <c r="C242" s="221"/>
      <c r="G242" s="65" t="s">
        <v>84</v>
      </c>
      <c r="H242" s="158">
        <v>45912</v>
      </c>
      <c r="I242" s="218">
        <v>156</v>
      </c>
      <c r="J242" s="183">
        <v>2.16</v>
      </c>
      <c r="K242" s="183">
        <v>446.85</v>
      </c>
      <c r="L242" s="183">
        <v>446.85</v>
      </c>
      <c r="M242" s="147"/>
      <c r="N242" s="183"/>
      <c r="O242" s="147">
        <f t="shared" si="8"/>
        <v>2.8644230769230772</v>
      </c>
    </row>
    <row r="243" spans="1:15" ht="20">
      <c r="A243" s="15"/>
      <c r="B243" s="20"/>
      <c r="G243" s="215" t="s">
        <v>85</v>
      </c>
      <c r="H243" s="158">
        <v>45912</v>
      </c>
      <c r="I243" s="218">
        <v>144</v>
      </c>
      <c r="J243" s="183">
        <v>2.16</v>
      </c>
      <c r="K243" s="213">
        <v>412.39</v>
      </c>
      <c r="L243" s="213">
        <v>412.39</v>
      </c>
      <c r="M243" s="147"/>
      <c r="N243" s="183"/>
      <c r="O243" s="147">
        <f t="shared" si="8"/>
        <v>2.8638194444444443</v>
      </c>
    </row>
    <row r="244" spans="1:15" ht="20">
      <c r="A244" s="15"/>
      <c r="B244" s="20"/>
      <c r="G244" s="215" t="s">
        <v>53</v>
      </c>
      <c r="H244" s="158">
        <v>45919</v>
      </c>
      <c r="I244" s="218">
        <v>72</v>
      </c>
      <c r="J244" s="183">
        <v>2</v>
      </c>
      <c r="K244" s="222">
        <v>176</v>
      </c>
      <c r="L244" s="222">
        <v>176</v>
      </c>
      <c r="M244" s="147"/>
      <c r="N244" s="183"/>
      <c r="O244" s="147">
        <f t="shared" si="8"/>
        <v>2.4444444444444446</v>
      </c>
    </row>
    <row r="245" spans="1:15" ht="20">
      <c r="A245" s="15"/>
      <c r="B245" s="20"/>
      <c r="G245" s="215" t="s">
        <v>118</v>
      </c>
      <c r="H245" s="158">
        <v>45919</v>
      </c>
      <c r="I245" s="218">
        <v>132</v>
      </c>
      <c r="J245" s="183">
        <v>1.57</v>
      </c>
      <c r="K245" s="222">
        <v>254.34</v>
      </c>
      <c r="L245" s="222">
        <v>254.34</v>
      </c>
      <c r="M245" s="147"/>
      <c r="N245" s="183"/>
      <c r="O245" s="147">
        <f t="shared" si="8"/>
        <v>1.9268181818181818</v>
      </c>
    </row>
    <row r="246" spans="1:15" ht="20">
      <c r="A246" s="15"/>
      <c r="B246" s="20"/>
      <c r="G246" s="215" t="s">
        <v>33</v>
      </c>
      <c r="H246" s="158">
        <v>45919</v>
      </c>
      <c r="I246" s="218">
        <v>132</v>
      </c>
      <c r="J246" s="183">
        <v>1.83</v>
      </c>
      <c r="K246" s="222">
        <v>296.45999999999998</v>
      </c>
      <c r="L246" s="222">
        <v>296.45999999999998</v>
      </c>
      <c r="M246" s="147"/>
      <c r="N246" s="183"/>
      <c r="O246" s="147">
        <f t="shared" si="8"/>
        <v>2.2459090909090906</v>
      </c>
    </row>
    <row r="247" spans="1:15" ht="20">
      <c r="A247" s="15"/>
      <c r="B247" s="20"/>
      <c r="G247" s="215" t="s">
        <v>27</v>
      </c>
      <c r="H247" s="158">
        <v>45919</v>
      </c>
      <c r="I247" s="218">
        <v>108</v>
      </c>
      <c r="J247" s="183">
        <v>1.83</v>
      </c>
      <c r="K247" s="222">
        <v>241.56</v>
      </c>
      <c r="L247" s="222">
        <v>241.56</v>
      </c>
      <c r="M247" s="147"/>
      <c r="N247" s="183"/>
      <c r="O247" s="147">
        <f t="shared" si="8"/>
        <v>2.2366666666666668</v>
      </c>
    </row>
    <row r="248" spans="1:15" ht="20">
      <c r="A248" s="15"/>
      <c r="B248" s="20"/>
      <c r="G248" s="215" t="s">
        <v>59</v>
      </c>
      <c r="H248" s="158">
        <v>45919</v>
      </c>
      <c r="I248" s="218">
        <v>84</v>
      </c>
      <c r="J248" s="183">
        <v>1.83</v>
      </c>
      <c r="K248" s="222">
        <v>188.49</v>
      </c>
      <c r="L248" s="222">
        <v>188.49</v>
      </c>
      <c r="M248" s="147"/>
      <c r="N248" s="183"/>
      <c r="O248" s="147">
        <f t="shared" si="8"/>
        <v>2.2439285714285715</v>
      </c>
    </row>
    <row r="249" spans="1:15" ht="20">
      <c r="A249" s="15"/>
      <c r="B249" s="20"/>
      <c r="G249" s="46" t="s">
        <v>119</v>
      </c>
      <c r="H249" s="158">
        <v>45919</v>
      </c>
      <c r="I249" s="218">
        <v>1152</v>
      </c>
      <c r="J249" s="183">
        <v>2.16</v>
      </c>
      <c r="K249" s="183">
        <v>3047.76</v>
      </c>
      <c r="L249" s="183">
        <v>3047.76</v>
      </c>
      <c r="M249" s="147"/>
      <c r="N249" s="183"/>
      <c r="O249" s="147">
        <f t="shared" si="8"/>
        <v>2.6456250000000003</v>
      </c>
    </row>
    <row r="250" spans="1:15" ht="20">
      <c r="A250" s="15"/>
      <c r="B250" s="20"/>
      <c r="G250" s="46" t="s">
        <v>120</v>
      </c>
      <c r="H250" s="158">
        <v>45919</v>
      </c>
      <c r="I250" s="218">
        <v>1140</v>
      </c>
      <c r="J250" s="183">
        <v>2.16</v>
      </c>
      <c r="K250" s="183">
        <v>3015.36</v>
      </c>
      <c r="L250" s="183">
        <v>3015.36</v>
      </c>
      <c r="M250" s="147"/>
      <c r="N250" s="183"/>
      <c r="O250" s="147">
        <f t="shared" si="8"/>
        <v>2.6450526315789475</v>
      </c>
    </row>
    <row r="251" spans="1:15" ht="20">
      <c r="A251" s="15"/>
      <c r="B251" s="20"/>
      <c r="G251" s="46" t="s">
        <v>55</v>
      </c>
      <c r="H251" s="158">
        <v>45925</v>
      </c>
      <c r="I251" s="218">
        <v>120</v>
      </c>
      <c r="J251" s="183">
        <v>1.58</v>
      </c>
      <c r="K251" s="183">
        <v>232.26</v>
      </c>
      <c r="L251" s="183">
        <v>232.26</v>
      </c>
      <c r="M251" s="147"/>
      <c r="N251" s="183"/>
      <c r="O251" s="147">
        <f t="shared" si="8"/>
        <v>1.9355</v>
      </c>
    </row>
    <row r="252" spans="1:15" ht="20">
      <c r="A252" s="15"/>
      <c r="B252" s="20"/>
      <c r="G252" s="46" t="s">
        <v>37</v>
      </c>
      <c r="H252" s="158">
        <v>45925</v>
      </c>
      <c r="I252" s="218">
        <v>84</v>
      </c>
      <c r="J252" s="183">
        <v>1.58</v>
      </c>
      <c r="K252" s="183">
        <v>162.74</v>
      </c>
      <c r="L252" s="183">
        <v>162.74</v>
      </c>
      <c r="M252" s="147"/>
      <c r="N252" s="183"/>
      <c r="O252" s="147">
        <f t="shared" si="8"/>
        <v>1.9373809523809524</v>
      </c>
    </row>
    <row r="253" spans="1:15" ht="20">
      <c r="A253" s="15"/>
      <c r="B253" s="20"/>
      <c r="G253" s="46" t="s">
        <v>56</v>
      </c>
      <c r="H253" s="158">
        <v>45925</v>
      </c>
      <c r="I253" s="218">
        <v>108</v>
      </c>
      <c r="J253" s="183">
        <v>1.82</v>
      </c>
      <c r="K253" s="183">
        <v>240.24</v>
      </c>
      <c r="L253" s="183">
        <v>240.24</v>
      </c>
      <c r="M253" s="147"/>
      <c r="N253" s="183"/>
      <c r="O253" s="147">
        <f t="shared" si="8"/>
        <v>2.2244444444444444</v>
      </c>
    </row>
    <row r="254" spans="1:15" ht="20">
      <c r="A254" s="15"/>
      <c r="B254" s="20"/>
      <c r="G254" s="46" t="s">
        <v>121</v>
      </c>
      <c r="H254" s="158">
        <v>45925</v>
      </c>
      <c r="I254" s="218">
        <v>732</v>
      </c>
      <c r="J254" s="183">
        <v>2.16</v>
      </c>
      <c r="K254" s="183">
        <v>1941.84</v>
      </c>
      <c r="L254" s="183">
        <v>1941.84</v>
      </c>
      <c r="M254" s="147"/>
      <c r="N254" s="183"/>
      <c r="O254" s="147">
        <f t="shared" si="8"/>
        <v>2.6527868852459013</v>
      </c>
    </row>
    <row r="255" spans="1:15" ht="20">
      <c r="A255" s="15"/>
      <c r="B255" s="20"/>
      <c r="G255" s="46"/>
      <c r="H255" s="158">
        <v>45925</v>
      </c>
      <c r="I255" s="218">
        <v>732</v>
      </c>
      <c r="J255" s="183">
        <v>2.16</v>
      </c>
      <c r="K255" s="183">
        <v>1941.84</v>
      </c>
      <c r="L255" s="183">
        <v>1941.84</v>
      </c>
      <c r="M255" s="147"/>
      <c r="N255" s="183"/>
      <c r="O255" s="147">
        <f t="shared" si="8"/>
        <v>2.6527868852459013</v>
      </c>
    </row>
    <row r="256" spans="1:15" ht="20">
      <c r="A256" s="15"/>
      <c r="B256" s="20"/>
      <c r="G256" s="46" t="s">
        <v>36</v>
      </c>
      <c r="H256" s="158">
        <v>45925</v>
      </c>
      <c r="I256" s="218">
        <v>108</v>
      </c>
      <c r="J256" s="183">
        <v>1.79</v>
      </c>
      <c r="K256" s="183">
        <v>236.28</v>
      </c>
      <c r="L256" s="183">
        <v>236.28</v>
      </c>
      <c r="M256" s="147"/>
      <c r="N256" s="183"/>
      <c r="O256" s="147">
        <f t="shared" si="8"/>
        <v>2.1877777777777778</v>
      </c>
    </row>
    <row r="257" spans="1:16" ht="20">
      <c r="A257" s="15"/>
      <c r="B257" s="20"/>
      <c r="G257" s="46" t="s">
        <v>122</v>
      </c>
      <c r="H257" s="158">
        <v>45925</v>
      </c>
      <c r="I257" s="218">
        <v>72</v>
      </c>
      <c r="J257" s="183">
        <v>1.92</v>
      </c>
      <c r="K257" s="183">
        <v>168.96</v>
      </c>
      <c r="L257" s="183">
        <v>168.96</v>
      </c>
      <c r="M257" s="147"/>
      <c r="N257" s="183"/>
      <c r="O257" s="147">
        <f t="shared" si="8"/>
        <v>2.3466666666666667</v>
      </c>
    </row>
    <row r="258" spans="1:16" ht="20">
      <c r="A258" s="15"/>
      <c r="B258" s="20"/>
      <c r="G258" s="46" t="s">
        <v>123</v>
      </c>
      <c r="H258" s="138">
        <v>45938</v>
      </c>
      <c r="I258" s="223">
        <v>72</v>
      </c>
      <c r="J258" s="224">
        <v>1.78</v>
      </c>
      <c r="K258" s="224">
        <v>158.41999999999999</v>
      </c>
      <c r="L258" s="224">
        <v>158.41999999999999</v>
      </c>
      <c r="M258" s="133"/>
      <c r="N258" s="224"/>
      <c r="O258" s="133">
        <f t="shared" si="8"/>
        <v>2.2002777777777776</v>
      </c>
    </row>
    <row r="259" spans="1:16" ht="20">
      <c r="A259" s="15"/>
      <c r="B259" s="20"/>
      <c r="E259" s="1" t="s">
        <v>124</v>
      </c>
      <c r="G259" s="46" t="s">
        <v>125</v>
      </c>
      <c r="H259" s="135">
        <v>45968</v>
      </c>
      <c r="I259" s="223">
        <v>24</v>
      </c>
      <c r="J259" s="224"/>
      <c r="K259" s="224">
        <v>57.256999999999998</v>
      </c>
      <c r="L259" s="224">
        <v>57.256999999999998</v>
      </c>
      <c r="M259" s="133"/>
      <c r="N259" s="224"/>
      <c r="O259" s="133">
        <f t="shared" si="8"/>
        <v>2.3857083333333331</v>
      </c>
    </row>
    <row r="260" spans="1:16">
      <c r="A260" s="15"/>
      <c r="B260" s="20"/>
      <c r="O260" s="22"/>
    </row>
    <row r="261" spans="1:16" ht="15" thickBot="1">
      <c r="A261" s="15"/>
      <c r="B261" s="47"/>
      <c r="C261" s="48"/>
      <c r="D261" s="48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50"/>
    </row>
    <row r="262" spans="1:16" ht="51" customHeight="1">
      <c r="A262" s="13"/>
      <c r="B262" s="13"/>
      <c r="C262" s="14"/>
      <c r="D262" s="14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</row>
    <row r="263" spans="1:16" ht="26" customHeight="1">
      <c r="A263" s="13"/>
      <c r="B263" s="13"/>
      <c r="C263" s="14"/>
      <c r="D263" s="14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</row>
    <row r="264" spans="1:16" ht="26" customHeight="1" thickBot="1">
      <c r="A264" s="13"/>
      <c r="B264" s="13"/>
      <c r="C264" s="14"/>
      <c r="D264" s="14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</row>
    <row r="265" spans="1:16" ht="36">
      <c r="A265" s="15" t="s">
        <v>14</v>
      </c>
      <c r="B265" s="16" t="s">
        <v>15</v>
      </c>
      <c r="C265" s="7">
        <v>45933</v>
      </c>
      <c r="D265" s="17"/>
      <c r="E265" s="18"/>
      <c r="F265" s="233"/>
      <c r="G265" s="18"/>
      <c r="H265" s="18"/>
      <c r="I265" s="18"/>
      <c r="J265" s="18"/>
      <c r="K265" s="18"/>
      <c r="L265" s="18"/>
      <c r="M265" s="18"/>
      <c r="N265" s="18"/>
      <c r="O265" s="19"/>
    </row>
    <row r="266" spans="1:16">
      <c r="A266" s="15"/>
      <c r="B266" s="20"/>
      <c r="O266" s="22"/>
    </row>
    <row r="267" spans="1:16" ht="15" thickBot="1">
      <c r="A267" s="15"/>
      <c r="B267" s="20"/>
      <c r="O267" s="22"/>
    </row>
    <row r="268" spans="1:16" ht="18">
      <c r="A268" s="15"/>
      <c r="B268" s="4" t="s">
        <v>0</v>
      </c>
      <c r="C268" s="5" t="s">
        <v>1</v>
      </c>
      <c r="D268" s="5"/>
      <c r="E268" s="5" t="s">
        <v>2</v>
      </c>
      <c r="F268" s="5"/>
      <c r="G268" s="5" t="s">
        <v>3</v>
      </c>
      <c r="H268" s="5" t="s">
        <v>4</v>
      </c>
      <c r="I268" s="5" t="s">
        <v>5</v>
      </c>
      <c r="J268" s="5"/>
      <c r="K268" s="5" t="s">
        <v>6</v>
      </c>
      <c r="L268" s="5" t="s">
        <v>7</v>
      </c>
      <c r="M268" s="5" t="s">
        <v>8</v>
      </c>
      <c r="N268" s="5" t="s">
        <v>9</v>
      </c>
      <c r="O268" s="6" t="s">
        <v>10</v>
      </c>
    </row>
    <row r="269" spans="1:16" ht="15" thickBot="1">
      <c r="A269" s="15"/>
      <c r="B269" s="23">
        <f>C265</f>
        <v>45933</v>
      </c>
      <c r="C269" s="8">
        <v>4500</v>
      </c>
      <c r="D269" s="8"/>
      <c r="E269" s="8">
        <v>31185</v>
      </c>
      <c r="F269" s="8"/>
      <c r="G269" s="8">
        <f>E269/C269</f>
        <v>6.93</v>
      </c>
      <c r="H269" s="8" t="e">
        <f>#REF!</f>
        <v>#REF!</v>
      </c>
      <c r="I269" s="8" t="e">
        <f>C269-H269</f>
        <v>#REF!</v>
      </c>
      <c r="J269" s="8"/>
      <c r="K269" s="8" t="e">
        <f>#REF!</f>
        <v>#REF!</v>
      </c>
      <c r="L269" s="8" t="e">
        <f>#REF!</f>
        <v>#REF!</v>
      </c>
      <c r="M269" s="8" t="e">
        <f>K269-L269</f>
        <v>#REF!</v>
      </c>
      <c r="N269" s="8"/>
      <c r="O269" s="9" t="e">
        <f>G269+#REF!</f>
        <v>#REF!</v>
      </c>
    </row>
    <row r="270" spans="1:16">
      <c r="A270" s="15"/>
      <c r="B270" s="20"/>
      <c r="O270" s="22"/>
    </row>
    <row r="271" spans="1:16">
      <c r="A271" s="15"/>
      <c r="B271" s="20"/>
      <c r="O271" s="22"/>
    </row>
    <row r="272" spans="1:16">
      <c r="A272" s="15"/>
      <c r="B272" s="20"/>
      <c r="O272" s="22"/>
    </row>
    <row r="273" spans="1:15" ht="20">
      <c r="A273" s="15"/>
      <c r="B273" s="24" t="s">
        <v>16</v>
      </c>
      <c r="C273" s="25"/>
      <c r="D273" s="25"/>
      <c r="E273" s="26"/>
      <c r="F273" s="26"/>
      <c r="H273" s="27" t="s">
        <v>17</v>
      </c>
      <c r="I273" s="25"/>
      <c r="J273" s="25"/>
      <c r="K273" s="26"/>
      <c r="L273" s="26"/>
      <c r="M273" s="26"/>
      <c r="N273" s="26"/>
      <c r="O273" s="22"/>
    </row>
    <row r="274" spans="1:15" ht="20">
      <c r="A274" s="15"/>
      <c r="B274" s="28" t="s">
        <v>18</v>
      </c>
      <c r="C274" s="29" t="s">
        <v>19</v>
      </c>
      <c r="D274" s="29" t="s">
        <v>20</v>
      </c>
      <c r="E274" s="30" t="s">
        <v>21</v>
      </c>
      <c r="F274" s="226"/>
      <c r="G274" s="31" t="s">
        <v>131</v>
      </c>
      <c r="H274" s="31" t="s">
        <v>18</v>
      </c>
      <c r="I274" s="31" t="s">
        <v>1</v>
      </c>
      <c r="J274" s="31" t="s">
        <v>22</v>
      </c>
      <c r="K274" s="31" t="s">
        <v>2</v>
      </c>
      <c r="L274" s="31" t="s">
        <v>23</v>
      </c>
      <c r="M274" s="31" t="s">
        <v>24</v>
      </c>
      <c r="N274" s="31" t="s">
        <v>9</v>
      </c>
      <c r="O274" s="31" t="s">
        <v>25</v>
      </c>
    </row>
    <row r="275" spans="1:15" ht="20">
      <c r="A275" s="15"/>
      <c r="B275" s="59">
        <f>B269</f>
        <v>45933</v>
      </c>
      <c r="C275" s="60">
        <f>E269</f>
        <v>31185</v>
      </c>
      <c r="D275" s="60"/>
      <c r="E275" s="216" t="s">
        <v>26</v>
      </c>
      <c r="F275" s="230"/>
      <c r="H275" s="225">
        <v>45955</v>
      </c>
      <c r="I275" s="136">
        <v>96</v>
      </c>
      <c r="J275" s="137">
        <v>1.56</v>
      </c>
      <c r="K275" s="137">
        <v>184.08</v>
      </c>
      <c r="L275" s="137">
        <v>184.08</v>
      </c>
      <c r="M275" s="137"/>
      <c r="N275" s="137"/>
      <c r="O275" s="137">
        <f t="shared" ref="O275:O296" si="9">IF(K275&gt;0,(K275+N275)/I275,0)</f>
        <v>1.9175000000000002</v>
      </c>
    </row>
    <row r="276" spans="1:15" ht="20">
      <c r="A276" s="15"/>
      <c r="B276" s="59">
        <v>45933</v>
      </c>
      <c r="C276" s="60">
        <v>17000</v>
      </c>
      <c r="D276" s="144">
        <v>154.38999999999999</v>
      </c>
      <c r="E276" s="216" t="s">
        <v>28</v>
      </c>
      <c r="F276" s="230"/>
      <c r="H276" s="225">
        <v>45955</v>
      </c>
      <c r="I276" s="136">
        <v>108</v>
      </c>
      <c r="J276" s="137">
        <v>1.56</v>
      </c>
      <c r="K276" s="137">
        <v>207.48</v>
      </c>
      <c r="L276" s="137">
        <v>207.48</v>
      </c>
      <c r="M276" s="137"/>
      <c r="N276" s="137"/>
      <c r="O276" s="137">
        <f t="shared" si="9"/>
        <v>1.921111111111111</v>
      </c>
    </row>
    <row r="277" spans="1:15" ht="20">
      <c r="A277" s="15"/>
      <c r="B277" s="59">
        <v>46021</v>
      </c>
      <c r="C277" s="60">
        <v>14185</v>
      </c>
      <c r="D277" s="60">
        <v>128.82</v>
      </c>
      <c r="E277" s="216" t="s">
        <v>30</v>
      </c>
      <c r="F277" s="230"/>
      <c r="H277" s="225">
        <v>45955</v>
      </c>
      <c r="I277" s="136">
        <v>96</v>
      </c>
      <c r="J277" s="137">
        <v>2.2400000000000002</v>
      </c>
      <c r="K277" s="137">
        <v>264.32</v>
      </c>
      <c r="L277" s="137">
        <v>264.32</v>
      </c>
      <c r="M277" s="137"/>
      <c r="N277" s="137"/>
      <c r="O277" s="137">
        <f t="shared" si="9"/>
        <v>2.7533333333333334</v>
      </c>
    </row>
    <row r="278" spans="1:15" ht="20">
      <c r="A278" s="15"/>
      <c r="B278" s="39"/>
      <c r="C278" s="33"/>
      <c r="D278" s="33"/>
      <c r="E278" s="34"/>
      <c r="F278" s="227"/>
      <c r="H278" s="225">
        <v>45955</v>
      </c>
      <c r="I278" s="136">
        <v>72</v>
      </c>
      <c r="J278" s="137">
        <v>2.0299999999999998</v>
      </c>
      <c r="K278" s="137">
        <v>180.67</v>
      </c>
      <c r="L278" s="137">
        <v>180.67</v>
      </c>
      <c r="M278" s="137"/>
      <c r="N278" s="137"/>
      <c r="O278" s="137">
        <f t="shared" si="9"/>
        <v>2.5093055555555552</v>
      </c>
    </row>
    <row r="279" spans="1:15" ht="20">
      <c r="A279" s="15"/>
      <c r="B279" s="40"/>
      <c r="C279" s="33"/>
      <c r="D279" s="33"/>
      <c r="E279" s="34"/>
      <c r="F279" s="227"/>
      <c r="H279" s="225">
        <v>45955</v>
      </c>
      <c r="I279" s="136">
        <v>144</v>
      </c>
      <c r="J279" s="137">
        <v>1.34</v>
      </c>
      <c r="K279" s="137">
        <v>237.18</v>
      </c>
      <c r="L279" s="137">
        <v>237.18</v>
      </c>
      <c r="M279" s="137"/>
      <c r="N279" s="137"/>
      <c r="O279" s="137">
        <f t="shared" si="9"/>
        <v>1.6470833333333335</v>
      </c>
    </row>
    <row r="280" spans="1:15" ht="20">
      <c r="A280" s="15"/>
      <c r="B280" s="41"/>
      <c r="C280" s="42"/>
      <c r="D280" s="42"/>
      <c r="E280" s="43"/>
      <c r="F280" s="86"/>
      <c r="G280" s="1" t="s">
        <v>39</v>
      </c>
      <c r="H280" s="135">
        <v>45960</v>
      </c>
      <c r="I280" s="136">
        <v>276</v>
      </c>
      <c r="J280" s="137">
        <v>2.04</v>
      </c>
      <c r="K280" s="137">
        <v>693.6</v>
      </c>
      <c r="L280" s="137">
        <v>693.6</v>
      </c>
      <c r="M280" s="137"/>
      <c r="N280" s="137"/>
      <c r="O280" s="137">
        <f t="shared" si="9"/>
        <v>2.5130434782608697</v>
      </c>
    </row>
    <row r="281" spans="1:15" ht="20">
      <c r="A281" s="15"/>
      <c r="B281" s="45"/>
      <c r="C281" s="1"/>
      <c r="D281" s="1"/>
      <c r="G281" s="1" t="s">
        <v>27</v>
      </c>
      <c r="H281" s="135">
        <v>45960</v>
      </c>
      <c r="I281" s="136">
        <v>624</v>
      </c>
      <c r="J281" s="137">
        <v>1.7</v>
      </c>
      <c r="K281" s="137">
        <v>1303.9000000000001</v>
      </c>
      <c r="L281" s="137">
        <v>1303.9000000000001</v>
      </c>
      <c r="M281" s="137"/>
      <c r="N281" s="137"/>
      <c r="O281" s="137">
        <f t="shared" si="9"/>
        <v>2.0895833333333336</v>
      </c>
    </row>
    <row r="282" spans="1:15" ht="20">
      <c r="A282" s="15"/>
      <c r="B282" s="45"/>
      <c r="C282" s="1"/>
      <c r="D282" s="1"/>
      <c r="G282" s="46" t="s">
        <v>126</v>
      </c>
      <c r="H282" s="135">
        <v>45960</v>
      </c>
      <c r="I282" s="136">
        <v>432</v>
      </c>
      <c r="J282" s="137">
        <v>1.72</v>
      </c>
      <c r="K282" s="137">
        <v>911.6</v>
      </c>
      <c r="L282" s="137">
        <v>911.6</v>
      </c>
      <c r="M282" s="137"/>
      <c r="N282" s="137"/>
      <c r="O282" s="137">
        <f t="shared" si="9"/>
        <v>2.1101851851851854</v>
      </c>
    </row>
    <row r="283" spans="1:15" ht="20">
      <c r="A283" s="15"/>
      <c r="B283" s="20"/>
      <c r="G283" s="46" t="s">
        <v>58</v>
      </c>
      <c r="H283" s="135">
        <v>45960</v>
      </c>
      <c r="I283" s="136">
        <v>300</v>
      </c>
      <c r="J283" s="137">
        <v>2.0099999999999998</v>
      </c>
      <c r="K283" s="137">
        <v>741.69</v>
      </c>
      <c r="L283" s="137">
        <v>741.69</v>
      </c>
      <c r="M283" s="137"/>
      <c r="N283" s="137"/>
      <c r="O283" s="137">
        <f t="shared" si="9"/>
        <v>2.4723000000000002</v>
      </c>
    </row>
    <row r="284" spans="1:15" ht="20">
      <c r="A284" s="15"/>
      <c r="B284" s="20"/>
      <c r="G284" s="46" t="s">
        <v>35</v>
      </c>
      <c r="H284" s="135">
        <v>45960</v>
      </c>
      <c r="I284" s="136">
        <v>528</v>
      </c>
      <c r="J284" s="137">
        <v>1.45</v>
      </c>
      <c r="K284" s="137">
        <v>941.05</v>
      </c>
      <c r="L284" s="137">
        <v>941.05</v>
      </c>
      <c r="M284" s="137"/>
      <c r="N284" s="137"/>
      <c r="O284" s="137">
        <f t="shared" si="9"/>
        <v>1.7822916666666666</v>
      </c>
    </row>
    <row r="285" spans="1:15" ht="20">
      <c r="A285" s="15"/>
      <c r="B285" s="20"/>
      <c r="G285" s="46" t="s">
        <v>59</v>
      </c>
      <c r="H285" s="135">
        <v>45962</v>
      </c>
      <c r="I285" s="136">
        <v>192</v>
      </c>
      <c r="J285" s="137">
        <v>1.79</v>
      </c>
      <c r="K285" s="137">
        <v>422.44</v>
      </c>
      <c r="L285" s="137">
        <v>422.44</v>
      </c>
      <c r="M285" s="137"/>
      <c r="N285" s="137"/>
      <c r="O285" s="137">
        <f t="shared" si="9"/>
        <v>2.2002083333333333</v>
      </c>
    </row>
    <row r="286" spans="1:15" ht="20">
      <c r="A286" s="15"/>
      <c r="B286" s="20"/>
      <c r="G286" s="46" t="s">
        <v>127</v>
      </c>
      <c r="H286" s="135">
        <v>45962</v>
      </c>
      <c r="I286" s="136">
        <v>396</v>
      </c>
      <c r="J286" s="137">
        <v>1.45</v>
      </c>
      <c r="K286" s="137">
        <v>704.7</v>
      </c>
      <c r="L286" s="137">
        <v>704.7</v>
      </c>
      <c r="M286" s="137"/>
      <c r="N286" s="137"/>
      <c r="O286" s="137">
        <f t="shared" si="9"/>
        <v>1.7795454545454548</v>
      </c>
    </row>
    <row r="287" spans="1:15" ht="20">
      <c r="A287" s="15"/>
      <c r="B287" s="20"/>
      <c r="G287" s="46" t="s">
        <v>53</v>
      </c>
      <c r="H287" s="135">
        <v>45962</v>
      </c>
      <c r="I287" s="136">
        <v>204</v>
      </c>
      <c r="J287" s="137">
        <v>1.89</v>
      </c>
      <c r="K287" s="137">
        <v>474.39</v>
      </c>
      <c r="L287" s="137">
        <v>474.39</v>
      </c>
      <c r="M287" s="137"/>
      <c r="N287" s="137"/>
      <c r="O287" s="137">
        <f t="shared" si="9"/>
        <v>2.325441176470588</v>
      </c>
    </row>
    <row r="288" spans="1:15" ht="20">
      <c r="A288" s="15"/>
      <c r="B288" s="20"/>
      <c r="G288" s="46" t="s">
        <v>29</v>
      </c>
      <c r="H288" s="135">
        <v>45962</v>
      </c>
      <c r="I288" s="136">
        <v>420</v>
      </c>
      <c r="J288" s="137">
        <v>1.53</v>
      </c>
      <c r="K288" s="137">
        <v>789.48</v>
      </c>
      <c r="L288" s="137">
        <v>789.48</v>
      </c>
      <c r="M288" s="137"/>
      <c r="N288" s="137"/>
      <c r="O288" s="137">
        <f t="shared" si="9"/>
        <v>1.8797142857142857</v>
      </c>
    </row>
    <row r="289" spans="1:16" ht="20">
      <c r="A289" s="15"/>
      <c r="B289" s="20"/>
      <c r="G289" s="46" t="s">
        <v>33</v>
      </c>
      <c r="H289" s="135">
        <v>45962</v>
      </c>
      <c r="I289" s="136">
        <v>336</v>
      </c>
      <c r="J289" s="137">
        <v>1.79</v>
      </c>
      <c r="K289" s="137">
        <v>739.27</v>
      </c>
      <c r="L289" s="137">
        <v>739.27</v>
      </c>
      <c r="M289" s="137"/>
      <c r="N289" s="137"/>
      <c r="O289" s="137">
        <f t="shared" si="9"/>
        <v>2.2002083333333333</v>
      </c>
    </row>
    <row r="290" spans="1:16" ht="20">
      <c r="A290" s="15"/>
      <c r="B290" s="20"/>
      <c r="G290" s="46" t="s">
        <v>128</v>
      </c>
      <c r="H290" s="135">
        <v>45968</v>
      </c>
      <c r="I290" s="136">
        <v>72</v>
      </c>
      <c r="J290" s="137">
        <v>1.32</v>
      </c>
      <c r="K290" s="137">
        <v>117.48</v>
      </c>
      <c r="L290" s="137">
        <v>117.48</v>
      </c>
      <c r="M290" s="137"/>
      <c r="N290" s="137"/>
      <c r="O290" s="137">
        <f t="shared" si="9"/>
        <v>1.6316666666666668</v>
      </c>
    </row>
    <row r="291" spans="1:16" ht="20">
      <c r="A291" s="15"/>
      <c r="B291" s="20"/>
      <c r="G291" s="46" t="s">
        <v>129</v>
      </c>
      <c r="H291" s="135">
        <v>45968</v>
      </c>
      <c r="I291" s="136">
        <v>36</v>
      </c>
      <c r="J291" s="137">
        <v>1.93</v>
      </c>
      <c r="K291" s="137">
        <v>86.85</v>
      </c>
      <c r="L291" s="137">
        <v>86.85</v>
      </c>
      <c r="M291" s="137"/>
      <c r="N291" s="137"/>
      <c r="O291" s="137">
        <f t="shared" si="9"/>
        <v>2.4124999999999996</v>
      </c>
    </row>
    <row r="292" spans="1:16" ht="20">
      <c r="A292" s="15"/>
      <c r="B292" s="20"/>
      <c r="G292" s="46" t="s">
        <v>90</v>
      </c>
      <c r="H292" s="135">
        <v>45968</v>
      </c>
      <c r="I292" s="136">
        <v>36</v>
      </c>
      <c r="J292" s="137">
        <v>2.21</v>
      </c>
      <c r="K292" s="137">
        <v>99.45</v>
      </c>
      <c r="L292" s="137">
        <v>99.45</v>
      </c>
      <c r="M292" s="137"/>
      <c r="N292" s="137"/>
      <c r="O292" s="137">
        <f t="shared" si="9"/>
        <v>2.7625000000000002</v>
      </c>
    </row>
    <row r="293" spans="1:16" ht="20">
      <c r="A293" s="15"/>
      <c r="B293" s="20"/>
      <c r="G293" s="46" t="s">
        <v>57</v>
      </c>
      <c r="H293" s="135">
        <v>45968</v>
      </c>
      <c r="I293" s="136">
        <v>84</v>
      </c>
      <c r="J293" s="137">
        <v>1.32</v>
      </c>
      <c r="K293" s="137">
        <v>137.28</v>
      </c>
      <c r="L293" s="137">
        <v>137.28</v>
      </c>
      <c r="M293" s="137"/>
      <c r="N293" s="137"/>
      <c r="O293" s="137">
        <f t="shared" si="9"/>
        <v>1.6342857142857143</v>
      </c>
    </row>
    <row r="294" spans="1:16" ht="20">
      <c r="A294" s="15"/>
      <c r="B294" s="20"/>
      <c r="G294" s="46" t="s">
        <v>125</v>
      </c>
      <c r="H294" s="135">
        <v>45968</v>
      </c>
      <c r="I294" s="136">
        <v>48</v>
      </c>
      <c r="J294" s="137">
        <v>1.93</v>
      </c>
      <c r="K294" s="137">
        <v>114.51</v>
      </c>
      <c r="L294" s="137">
        <v>114.51</v>
      </c>
      <c r="M294" s="137"/>
      <c r="N294" s="137"/>
      <c r="O294" s="137">
        <f t="shared" si="9"/>
        <v>2.3856250000000001</v>
      </c>
    </row>
    <row r="295" spans="1:16" ht="20">
      <c r="A295" s="15"/>
      <c r="B295" s="20"/>
      <c r="G295" s="135" t="s">
        <v>130</v>
      </c>
      <c r="H295" s="135">
        <v>45968</v>
      </c>
      <c r="I295" s="136"/>
      <c r="J295" s="137"/>
      <c r="K295" s="137">
        <v>4.2</v>
      </c>
      <c r="L295" s="137">
        <v>4.2</v>
      </c>
      <c r="M295" s="137"/>
      <c r="N295" s="137"/>
      <c r="O295" s="137"/>
    </row>
    <row r="296" spans="1:16" ht="20">
      <c r="A296" s="15"/>
      <c r="B296" s="20"/>
      <c r="G296" s="46"/>
      <c r="H296" s="44"/>
      <c r="I296" s="36"/>
      <c r="J296" s="37"/>
      <c r="K296" s="37"/>
      <c r="L296" s="37"/>
      <c r="M296" s="37"/>
      <c r="N296" s="37"/>
      <c r="O296" s="37">
        <f t="shared" si="9"/>
        <v>0</v>
      </c>
    </row>
    <row r="297" spans="1:16">
      <c r="A297" s="15"/>
      <c r="B297" s="20"/>
      <c r="O297" s="22"/>
    </row>
    <row r="298" spans="1:16" ht="15" thickBot="1">
      <c r="A298" s="15"/>
      <c r="B298" s="47"/>
      <c r="C298" s="48"/>
      <c r="D298" s="48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50"/>
    </row>
    <row r="299" spans="1:16" ht="60" thickBot="1">
      <c r="A299" s="13"/>
      <c r="B299" s="13"/>
      <c r="C299" s="14"/>
      <c r="D299" s="14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</row>
    <row r="300" spans="1:16" ht="36">
      <c r="A300" s="15" t="s">
        <v>14</v>
      </c>
      <c r="B300" s="16" t="s">
        <v>15</v>
      </c>
      <c r="C300" s="7">
        <v>46000</v>
      </c>
      <c r="D300" s="17"/>
      <c r="E300" s="233"/>
      <c r="F300" s="18"/>
      <c r="G300" s="18"/>
      <c r="H300" s="18"/>
      <c r="I300" s="18"/>
      <c r="J300" s="18"/>
      <c r="K300" s="18"/>
      <c r="L300" s="18"/>
      <c r="M300" s="18"/>
      <c r="N300" s="19"/>
    </row>
    <row r="301" spans="1:16">
      <c r="A301" s="15"/>
      <c r="B301" s="20"/>
      <c r="N301" s="22"/>
    </row>
    <row r="302" spans="1:16" ht="15" thickBot="1">
      <c r="A302" s="15"/>
      <c r="B302" s="20"/>
      <c r="N302" s="22"/>
    </row>
    <row r="303" spans="1:16" ht="18">
      <c r="A303" s="15"/>
      <c r="B303" s="4" t="s">
        <v>0</v>
      </c>
      <c r="C303" s="5" t="s">
        <v>1</v>
      </c>
      <c r="D303" s="5"/>
      <c r="E303" s="5" t="s">
        <v>2</v>
      </c>
      <c r="F303" s="5" t="s">
        <v>3</v>
      </c>
      <c r="G303" s="5" t="s">
        <v>4</v>
      </c>
      <c r="H303" s="5" t="s">
        <v>5</v>
      </c>
      <c r="I303" s="5"/>
      <c r="J303" s="5" t="s">
        <v>6</v>
      </c>
      <c r="K303" s="5" t="s">
        <v>7</v>
      </c>
      <c r="L303" s="5" t="s">
        <v>8</v>
      </c>
      <c r="M303" s="5" t="s">
        <v>9</v>
      </c>
      <c r="N303" s="6" t="s">
        <v>10</v>
      </c>
    </row>
    <row r="304" spans="1:16" ht="15" thickBot="1">
      <c r="A304" s="15"/>
      <c r="B304" s="23">
        <f>C300</f>
        <v>46000</v>
      </c>
      <c r="C304" s="8">
        <v>3024</v>
      </c>
      <c r="D304" s="8"/>
      <c r="E304" s="8">
        <v>20956.32</v>
      </c>
      <c r="F304" s="8">
        <f>E304/C304</f>
        <v>6.93</v>
      </c>
      <c r="G304" s="8" t="e">
        <f>#REF!</f>
        <v>#REF!</v>
      </c>
      <c r="H304" s="8" t="e">
        <f>C304-G304</f>
        <v>#REF!</v>
      </c>
      <c r="I304" s="8"/>
      <c r="J304" s="8" t="e">
        <f>#REF!</f>
        <v>#REF!</v>
      </c>
      <c r="K304" s="8" t="e">
        <f>#REF!</f>
        <v>#REF!</v>
      </c>
      <c r="L304" s="8" t="e">
        <f>J304-K304</f>
        <v>#REF!</v>
      </c>
      <c r="M304" s="8"/>
      <c r="N304" s="9" t="e">
        <f>F304+#REF!</f>
        <v>#REF!</v>
      </c>
    </row>
    <row r="305" spans="1:14">
      <c r="A305" s="15"/>
      <c r="B305" s="20"/>
      <c r="N305" s="22"/>
    </row>
    <row r="306" spans="1:14">
      <c r="A306" s="15"/>
      <c r="B306" s="20"/>
      <c r="N306" s="22"/>
    </row>
    <row r="307" spans="1:14">
      <c r="A307" s="15"/>
      <c r="B307" s="20"/>
      <c r="N307" s="22"/>
    </row>
    <row r="308" spans="1:14" ht="20">
      <c r="A308" s="15"/>
      <c r="B308" s="24" t="s">
        <v>16</v>
      </c>
      <c r="C308" s="25"/>
      <c r="D308" s="25"/>
      <c r="E308" s="26"/>
      <c r="G308" s="27" t="s">
        <v>17</v>
      </c>
      <c r="H308" s="25"/>
      <c r="I308" s="25"/>
      <c r="J308" s="26"/>
      <c r="K308" s="26"/>
      <c r="L308" s="26"/>
      <c r="M308" s="26"/>
      <c r="N308" s="22"/>
    </row>
    <row r="309" spans="1:14" ht="20">
      <c r="A309" s="15"/>
      <c r="B309" s="28" t="s">
        <v>18</v>
      </c>
      <c r="C309" s="29" t="s">
        <v>19</v>
      </c>
      <c r="D309" s="29" t="s">
        <v>20</v>
      </c>
      <c r="E309" s="30" t="s">
        <v>21</v>
      </c>
      <c r="G309" s="31" t="s">
        <v>18</v>
      </c>
      <c r="H309" s="31" t="s">
        <v>1</v>
      </c>
      <c r="I309" s="31" t="s">
        <v>22</v>
      </c>
      <c r="J309" s="31" t="s">
        <v>2</v>
      </c>
      <c r="K309" s="31" t="s">
        <v>23</v>
      </c>
      <c r="L309" s="31" t="s">
        <v>24</v>
      </c>
      <c r="M309" s="31" t="s">
        <v>9</v>
      </c>
      <c r="N309" s="31" t="s">
        <v>25</v>
      </c>
    </row>
    <row r="310" spans="1:14" ht="20">
      <c r="A310" s="15"/>
      <c r="B310" s="32">
        <v>46000</v>
      </c>
      <c r="C310" s="25">
        <v>3000</v>
      </c>
      <c r="D310" s="38">
        <v>27.25</v>
      </c>
      <c r="E310" s="34" t="s">
        <v>28</v>
      </c>
      <c r="F310" s="1" t="s">
        <v>27</v>
      </c>
      <c r="G310" s="35">
        <v>46022</v>
      </c>
      <c r="H310" s="36">
        <v>60</v>
      </c>
      <c r="I310" s="37">
        <v>1.7</v>
      </c>
      <c r="J310" s="37">
        <v>122.4</v>
      </c>
      <c r="K310" s="37"/>
      <c r="L310" s="37"/>
      <c r="M310" s="37"/>
      <c r="N310" s="37"/>
    </row>
    <row r="311" spans="1:14" ht="20">
      <c r="A311" s="15"/>
      <c r="C311" s="1"/>
      <c r="D311" s="1"/>
      <c r="F311" s="1" t="s">
        <v>29</v>
      </c>
      <c r="G311" s="35">
        <v>46022</v>
      </c>
      <c r="H311" s="36">
        <v>72</v>
      </c>
      <c r="I311" s="37">
        <v>1.45</v>
      </c>
      <c r="J311" s="37">
        <v>126.15</v>
      </c>
      <c r="K311" s="37"/>
      <c r="L311" s="37"/>
      <c r="M311" s="37"/>
      <c r="N311" s="37"/>
    </row>
    <row r="312" spans="1:14" ht="20">
      <c r="A312" s="15"/>
      <c r="B312" s="39"/>
      <c r="C312" s="33"/>
      <c r="D312" s="33"/>
      <c r="E312" s="34"/>
      <c r="F312" s="1" t="s">
        <v>31</v>
      </c>
      <c r="G312" s="35">
        <v>46022</v>
      </c>
      <c r="H312" s="36">
        <v>60</v>
      </c>
      <c r="I312" s="37">
        <v>1.41</v>
      </c>
      <c r="J312" s="37">
        <v>101.52</v>
      </c>
      <c r="K312" s="37"/>
      <c r="L312" s="37"/>
      <c r="M312" s="37"/>
      <c r="N312" s="37"/>
    </row>
    <row r="313" spans="1:14" ht="20">
      <c r="A313" s="15"/>
      <c r="B313" s="39"/>
      <c r="C313" s="33"/>
      <c r="D313" s="33"/>
      <c r="E313" s="34"/>
      <c r="F313" s="1" t="s">
        <v>33</v>
      </c>
      <c r="G313" s="35">
        <v>46022</v>
      </c>
      <c r="H313" s="36">
        <v>84</v>
      </c>
      <c r="I313" s="37">
        <v>1.71</v>
      </c>
      <c r="J313" s="37">
        <v>172.71</v>
      </c>
      <c r="K313" s="37"/>
      <c r="L313" s="37"/>
      <c r="M313" s="37"/>
      <c r="N313" s="37"/>
    </row>
    <row r="314" spans="1:14" ht="20">
      <c r="A314" s="15"/>
      <c r="B314" s="40"/>
      <c r="C314" s="33"/>
      <c r="D314" s="33"/>
      <c r="E314" s="34"/>
      <c r="F314" s="1" t="s">
        <v>35</v>
      </c>
      <c r="G314" s="35">
        <v>46022</v>
      </c>
      <c r="H314" s="36">
        <v>48</v>
      </c>
      <c r="I314" s="37">
        <v>1.44</v>
      </c>
      <c r="J314" s="37">
        <v>83.52</v>
      </c>
      <c r="K314" s="37"/>
      <c r="L314" s="37"/>
      <c r="M314" s="37"/>
      <c r="N314" s="37"/>
    </row>
    <row r="315" spans="1:14" ht="20">
      <c r="A315" s="15"/>
      <c r="B315" s="41"/>
      <c r="C315" s="42"/>
      <c r="D315" s="42"/>
      <c r="E315" s="43"/>
      <c r="F315" s="1" t="s">
        <v>36</v>
      </c>
      <c r="G315" s="44">
        <v>46032</v>
      </c>
      <c r="H315" s="36">
        <v>312</v>
      </c>
      <c r="I315" s="37"/>
      <c r="J315" s="37"/>
      <c r="K315" s="37"/>
      <c r="L315" s="37"/>
      <c r="M315" s="37"/>
      <c r="N315" s="37"/>
    </row>
    <row r="316" spans="1:14" ht="20">
      <c r="A316" s="15"/>
      <c r="B316" s="45"/>
      <c r="C316" s="1"/>
      <c r="D316" s="1"/>
      <c r="F316" s="1" t="s">
        <v>31</v>
      </c>
      <c r="G316" s="44">
        <v>46032</v>
      </c>
      <c r="H316" s="36">
        <v>192</v>
      </c>
      <c r="I316" s="37"/>
      <c r="J316" s="37"/>
      <c r="K316" s="37"/>
      <c r="L316" s="37"/>
      <c r="M316" s="37"/>
      <c r="N316" s="37"/>
    </row>
    <row r="317" spans="1:14" ht="20">
      <c r="A317" s="15"/>
      <c r="B317" s="45"/>
      <c r="C317" s="1"/>
      <c r="D317" s="1"/>
      <c r="F317" s="46" t="s">
        <v>37</v>
      </c>
      <c r="G317" s="44">
        <v>46032</v>
      </c>
      <c r="H317" s="36">
        <v>288</v>
      </c>
      <c r="I317" s="37"/>
      <c r="J317" s="37"/>
      <c r="K317" s="37"/>
      <c r="L317" s="37"/>
      <c r="M317" s="37"/>
      <c r="N317" s="37"/>
    </row>
    <row r="318" spans="1:14" ht="20">
      <c r="A318" s="15"/>
      <c r="B318" s="20"/>
      <c r="F318" s="46" t="s">
        <v>38</v>
      </c>
      <c r="G318" s="44">
        <v>46032</v>
      </c>
      <c r="H318" s="36">
        <v>252</v>
      </c>
      <c r="I318" s="37"/>
      <c r="J318" s="37"/>
      <c r="K318" s="37"/>
      <c r="L318" s="37"/>
      <c r="M318" s="37"/>
      <c r="N318" s="37"/>
    </row>
    <row r="319" spans="1:14" ht="20">
      <c r="A319" s="15"/>
      <c r="B319" s="20"/>
      <c r="F319" s="46" t="s">
        <v>39</v>
      </c>
      <c r="G319" s="44">
        <v>46032</v>
      </c>
      <c r="H319" s="36">
        <v>276</v>
      </c>
      <c r="I319" s="37"/>
      <c r="J319" s="37"/>
      <c r="K319" s="37"/>
      <c r="L319" s="37"/>
      <c r="M319" s="37"/>
      <c r="N319" s="37"/>
    </row>
    <row r="320" spans="1:14" ht="20">
      <c r="A320" s="15"/>
      <c r="B320" s="20"/>
      <c r="F320" s="46" t="s">
        <v>55</v>
      </c>
      <c r="G320" s="44">
        <v>46038</v>
      </c>
      <c r="H320" s="36">
        <v>264</v>
      </c>
      <c r="I320" s="37"/>
      <c r="J320" s="37"/>
      <c r="K320" s="37"/>
      <c r="L320" s="37"/>
      <c r="M320" s="37"/>
      <c r="N320" s="37"/>
    </row>
    <row r="321" spans="1:15" ht="20">
      <c r="A321" s="15"/>
      <c r="B321" s="20"/>
      <c r="F321" s="46" t="s">
        <v>132</v>
      </c>
      <c r="G321" s="44">
        <v>46038</v>
      </c>
      <c r="H321" s="36">
        <v>12</v>
      </c>
      <c r="I321" s="37"/>
      <c r="J321" s="37"/>
      <c r="K321" s="37"/>
      <c r="L321" s="37"/>
      <c r="M321" s="37"/>
      <c r="N321" s="37"/>
    </row>
    <row r="322" spans="1:15" ht="20">
      <c r="A322" s="15"/>
      <c r="B322" s="20"/>
      <c r="F322" s="46" t="s">
        <v>133</v>
      </c>
      <c r="G322" s="44">
        <v>46038</v>
      </c>
      <c r="H322" s="36">
        <v>324</v>
      </c>
      <c r="I322" s="37"/>
      <c r="J322" s="37"/>
      <c r="K322" s="37"/>
      <c r="L322" s="37"/>
      <c r="M322" s="37"/>
      <c r="N322" s="37"/>
    </row>
    <row r="323" spans="1:15" ht="20">
      <c r="A323" s="15"/>
      <c r="B323" s="20"/>
      <c r="F323" s="46" t="s">
        <v>56</v>
      </c>
      <c r="G323" s="44">
        <v>46038</v>
      </c>
      <c r="H323" s="36">
        <v>300</v>
      </c>
      <c r="I323" s="37"/>
      <c r="J323" s="37"/>
      <c r="K323" s="37"/>
      <c r="L323" s="37"/>
      <c r="M323" s="37"/>
      <c r="N323" s="37"/>
    </row>
    <row r="324" spans="1:15" ht="20">
      <c r="A324" s="15"/>
      <c r="B324" s="20"/>
      <c r="F324" s="46" t="s">
        <v>134</v>
      </c>
      <c r="G324" s="44">
        <v>46038</v>
      </c>
      <c r="H324" s="36">
        <v>228</v>
      </c>
      <c r="I324" s="37"/>
      <c r="J324" s="37"/>
      <c r="K324" s="37"/>
      <c r="L324" s="37"/>
      <c r="M324" s="37"/>
      <c r="N324" s="37"/>
    </row>
    <row r="325" spans="1:15" ht="20">
      <c r="A325" s="15"/>
      <c r="B325" s="20"/>
      <c r="F325" s="46" t="s">
        <v>27</v>
      </c>
      <c r="G325" s="44">
        <v>46038</v>
      </c>
      <c r="H325" s="36">
        <v>252</v>
      </c>
      <c r="I325" s="37"/>
      <c r="J325" s="37"/>
      <c r="K325" s="37"/>
      <c r="L325" s="37"/>
      <c r="M325" s="37"/>
      <c r="N325" s="37"/>
    </row>
    <row r="326" spans="1:15" ht="15" thickBot="1">
      <c r="A326" s="15"/>
      <c r="B326" s="47"/>
      <c r="C326" s="48"/>
      <c r="D326" s="48"/>
      <c r="E326" s="49"/>
      <c r="F326" s="49"/>
      <c r="G326" s="49"/>
      <c r="H326" s="49"/>
      <c r="I326" s="49"/>
      <c r="J326" s="49"/>
      <c r="K326" s="49"/>
      <c r="L326" s="49"/>
      <c r="M326" s="49"/>
      <c r="N326" s="50"/>
    </row>
    <row r="327" spans="1:15" ht="59">
      <c r="A327" s="13"/>
      <c r="B327" s="13"/>
      <c r="C327" s="14"/>
      <c r="D327" s="14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</row>
    <row r="328" spans="1:15" ht="59">
      <c r="A328" s="13"/>
      <c r="B328" s="13"/>
      <c r="C328" s="14"/>
      <c r="D328" s="14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</row>
    <row r="329" spans="1:15" ht="60" thickBot="1">
      <c r="A329" s="13"/>
      <c r="B329" s="13"/>
      <c r="C329" s="14"/>
      <c r="D329" s="14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</row>
    <row r="330" spans="1:15" ht="36">
      <c r="A330" s="51"/>
      <c r="B330" s="52" t="s">
        <v>40</v>
      </c>
      <c r="C330" s="10" t="s">
        <v>11</v>
      </c>
      <c r="D330" s="231"/>
      <c r="E330" s="53"/>
      <c r="F330" s="53"/>
      <c r="G330" s="53"/>
      <c r="H330" s="53"/>
      <c r="I330" s="53"/>
      <c r="J330" s="53"/>
      <c r="K330" s="53"/>
      <c r="L330" s="53"/>
      <c r="M330" s="53"/>
      <c r="N330" s="54"/>
    </row>
    <row r="331" spans="1:15">
      <c r="A331" s="51"/>
      <c r="B331" s="20"/>
      <c r="N331" s="22"/>
    </row>
    <row r="332" spans="1:15" ht="15" thickBot="1">
      <c r="A332" s="51"/>
      <c r="B332" s="20"/>
      <c r="N332" s="22"/>
    </row>
    <row r="333" spans="1:15" ht="19" thickBot="1">
      <c r="A333" s="51"/>
      <c r="B333" s="55" t="s">
        <v>0</v>
      </c>
      <c r="C333" s="56" t="s">
        <v>1</v>
      </c>
      <c r="D333" s="56"/>
      <c r="E333" s="56" t="s">
        <v>2</v>
      </c>
      <c r="F333" s="56" t="s">
        <v>3</v>
      </c>
      <c r="G333" s="56" t="s">
        <v>4</v>
      </c>
      <c r="H333" s="56" t="s">
        <v>5</v>
      </c>
      <c r="I333" s="56"/>
      <c r="J333" s="56" t="s">
        <v>6</v>
      </c>
      <c r="K333" s="56" t="s">
        <v>7</v>
      </c>
      <c r="L333" s="56" t="s">
        <v>8</v>
      </c>
      <c r="M333" s="56" t="s">
        <v>9</v>
      </c>
      <c r="N333" s="57" t="s">
        <v>10</v>
      </c>
    </row>
    <row r="334" spans="1:15" ht="36" thickBot="1">
      <c r="A334" s="51"/>
      <c r="B334" s="10" t="s">
        <v>11</v>
      </c>
      <c r="C334" s="8">
        <v>1008</v>
      </c>
      <c r="D334" s="8"/>
      <c r="E334" s="8">
        <v>5251.68</v>
      </c>
      <c r="F334" s="8">
        <f>E334/C334</f>
        <v>5.21</v>
      </c>
      <c r="G334" s="8" t="e">
        <f>#REF!</f>
        <v>#REF!</v>
      </c>
      <c r="H334" s="8" t="e">
        <f>C334-G334</f>
        <v>#REF!</v>
      </c>
      <c r="I334" s="8"/>
      <c r="J334" s="8" t="e">
        <f>#REF!</f>
        <v>#REF!</v>
      </c>
      <c r="K334" s="8" t="e">
        <f>#REF!</f>
        <v>#REF!</v>
      </c>
      <c r="L334" s="8" t="e">
        <f>J334-K334</f>
        <v>#REF!</v>
      </c>
      <c r="M334" s="8"/>
      <c r="N334" s="9" t="e">
        <f>F334+#REF!</f>
        <v>#REF!</v>
      </c>
    </row>
    <row r="335" spans="1:15">
      <c r="A335" s="51"/>
      <c r="B335" s="20"/>
      <c r="N335" s="22"/>
    </row>
    <row r="336" spans="1:15">
      <c r="A336" s="51"/>
      <c r="B336" s="20"/>
      <c r="N336" s="22"/>
    </row>
    <row r="337" spans="1:14">
      <c r="A337" s="51"/>
      <c r="B337" s="20"/>
      <c r="N337" s="22"/>
    </row>
    <row r="338" spans="1:14" ht="20">
      <c r="A338" s="51"/>
      <c r="B338" s="24" t="s">
        <v>16</v>
      </c>
      <c r="C338" s="25"/>
      <c r="D338" s="25"/>
      <c r="E338" s="26"/>
      <c r="G338" s="27" t="s">
        <v>17</v>
      </c>
      <c r="H338" s="25"/>
      <c r="I338" s="25"/>
      <c r="J338" s="26"/>
      <c r="K338" s="26"/>
      <c r="L338" s="26"/>
      <c r="M338" s="26"/>
      <c r="N338" s="22"/>
    </row>
    <row r="339" spans="1:14" ht="20">
      <c r="A339" s="51"/>
      <c r="B339" s="28" t="s">
        <v>18</v>
      </c>
      <c r="C339" s="58" t="s">
        <v>19</v>
      </c>
      <c r="D339" s="29" t="s">
        <v>20</v>
      </c>
      <c r="E339" s="30" t="s">
        <v>21</v>
      </c>
      <c r="G339" s="31" t="s">
        <v>18</v>
      </c>
      <c r="H339" s="31" t="s">
        <v>1</v>
      </c>
      <c r="I339" s="31" t="s">
        <v>22</v>
      </c>
      <c r="J339" s="31" t="s">
        <v>2</v>
      </c>
      <c r="K339" s="31" t="s">
        <v>23</v>
      </c>
      <c r="L339" s="31" t="s">
        <v>24</v>
      </c>
      <c r="M339" s="31" t="s">
        <v>9</v>
      </c>
      <c r="N339" s="31" t="s">
        <v>25</v>
      </c>
    </row>
    <row r="340" spans="1:14" ht="20">
      <c r="A340" s="51"/>
      <c r="B340" s="62" t="s">
        <v>41</v>
      </c>
      <c r="C340" s="60">
        <v>5251.68</v>
      </c>
      <c r="D340" s="60">
        <v>47.6</v>
      </c>
      <c r="E340" s="61" t="s">
        <v>28</v>
      </c>
      <c r="G340" s="35"/>
      <c r="H340" s="36"/>
      <c r="I340" s="37"/>
      <c r="J340" s="37"/>
      <c r="K340" s="37"/>
      <c r="L340" s="37"/>
      <c r="M340" s="37"/>
      <c r="N340" s="37">
        <f t="shared" ref="N340:N347" si="10">IF(J340&gt;0,(J340+M340)/H340,0)</f>
        <v>0</v>
      </c>
    </row>
    <row r="341" spans="1:14" ht="20">
      <c r="A341" s="51"/>
      <c r="C341" s="1"/>
      <c r="D341" s="1"/>
      <c r="G341" s="35"/>
      <c r="H341" s="36"/>
      <c r="I341" s="37"/>
      <c r="J341" s="37"/>
      <c r="K341" s="37"/>
      <c r="L341" s="37"/>
      <c r="M341" s="37"/>
      <c r="N341" s="37">
        <f t="shared" si="10"/>
        <v>0</v>
      </c>
    </row>
    <row r="342" spans="1:14" ht="20">
      <c r="A342" s="51"/>
      <c r="B342" s="32"/>
      <c r="C342" s="25"/>
      <c r="E342" s="61"/>
      <c r="G342" s="35"/>
      <c r="H342" s="36"/>
      <c r="I342" s="37"/>
      <c r="J342" s="37"/>
      <c r="K342" s="37"/>
      <c r="L342" s="37"/>
      <c r="M342" s="37"/>
      <c r="N342" s="37">
        <f t="shared" si="10"/>
        <v>0</v>
      </c>
    </row>
    <row r="343" spans="1:14" ht="20">
      <c r="A343" s="51"/>
      <c r="B343" s="63"/>
      <c r="C343" s="25"/>
      <c r="D343" s="25"/>
      <c r="E343" s="61"/>
      <c r="G343" s="35"/>
      <c r="H343" s="36"/>
      <c r="I343" s="37"/>
      <c r="J343" s="37"/>
      <c r="K343" s="37"/>
      <c r="L343" s="37"/>
      <c r="M343" s="37"/>
      <c r="N343" s="37">
        <f t="shared" si="10"/>
        <v>0</v>
      </c>
    </row>
    <row r="344" spans="1:14" ht="20">
      <c r="A344" s="51"/>
      <c r="B344" s="64"/>
      <c r="C344" s="25"/>
      <c r="D344" s="25"/>
      <c r="E344" s="61"/>
      <c r="G344" s="35"/>
      <c r="H344" s="36"/>
      <c r="I344" s="37"/>
      <c r="J344" s="37"/>
      <c r="K344" s="37"/>
      <c r="L344" s="37"/>
      <c r="M344" s="37"/>
      <c r="N344" s="37">
        <f t="shared" si="10"/>
        <v>0</v>
      </c>
    </row>
    <row r="345" spans="1:14" ht="20">
      <c r="A345" s="51"/>
      <c r="B345" s="41"/>
      <c r="C345" s="42"/>
      <c r="D345" s="42"/>
      <c r="E345" s="43"/>
      <c r="F345" s="46"/>
      <c r="G345" s="44"/>
      <c r="H345" s="36"/>
      <c r="I345" s="37"/>
      <c r="J345" s="37"/>
      <c r="K345" s="37"/>
      <c r="L345" s="37"/>
      <c r="M345" s="37"/>
      <c r="N345" s="37">
        <f t="shared" si="10"/>
        <v>0</v>
      </c>
    </row>
    <row r="346" spans="1:14" ht="20">
      <c r="A346" s="51"/>
      <c r="B346" s="45"/>
      <c r="C346" s="1"/>
      <c r="D346" s="1"/>
      <c r="F346" s="46"/>
      <c r="G346" s="44"/>
      <c r="H346" s="36"/>
      <c r="I346" s="37"/>
      <c r="J346" s="37"/>
      <c r="K346" s="37"/>
      <c r="L346" s="37"/>
      <c r="M346" s="37"/>
      <c r="N346" s="37">
        <f t="shared" si="10"/>
        <v>0</v>
      </c>
    </row>
    <row r="347" spans="1:14" ht="20">
      <c r="A347" s="51"/>
      <c r="B347" s="45"/>
      <c r="C347" s="1"/>
      <c r="D347" s="1"/>
      <c r="F347" s="46"/>
      <c r="G347" s="44"/>
      <c r="H347" s="36"/>
      <c r="I347" s="37"/>
      <c r="J347" s="37"/>
      <c r="K347" s="37"/>
      <c r="L347" s="37"/>
      <c r="M347" s="37"/>
      <c r="N347" s="37">
        <f t="shared" si="10"/>
        <v>0</v>
      </c>
    </row>
    <row r="348" spans="1:14">
      <c r="A348" s="51"/>
      <c r="B348" s="66"/>
      <c r="C348" s="67"/>
      <c r="D348" s="67"/>
      <c r="E348" s="51"/>
      <c r="F348" s="51"/>
      <c r="G348" s="51"/>
      <c r="H348" s="51"/>
      <c r="I348" s="51"/>
      <c r="J348" s="51"/>
      <c r="K348" s="51"/>
      <c r="L348" s="51"/>
      <c r="M348" s="51"/>
      <c r="N348" s="68"/>
    </row>
    <row r="349" spans="1:14" ht="15" thickBot="1">
      <c r="A349" s="51"/>
      <c r="B349" s="69"/>
      <c r="C349" s="70"/>
      <c r="D349" s="70"/>
      <c r="E349" s="71"/>
      <c r="F349" s="71"/>
      <c r="G349" s="71"/>
      <c r="H349" s="71"/>
      <c r="I349" s="71"/>
      <c r="J349" s="71"/>
      <c r="K349" s="71"/>
      <c r="L349" s="71"/>
      <c r="M349" s="71"/>
      <c r="N349" s="72"/>
    </row>
    <row r="353" spans="1:14" ht="15" thickBot="1"/>
    <row r="354" spans="1:14" ht="36" thickBot="1">
      <c r="A354" s="73"/>
      <c r="B354" s="74" t="s">
        <v>42</v>
      </c>
      <c r="C354" s="11" t="s">
        <v>12</v>
      </c>
      <c r="D354" s="232"/>
      <c r="E354" s="75"/>
      <c r="F354" s="75"/>
      <c r="G354" s="75"/>
      <c r="H354" s="75"/>
      <c r="I354" s="75"/>
      <c r="J354" s="75"/>
      <c r="K354" s="75"/>
      <c r="L354" s="75"/>
      <c r="M354" s="75"/>
      <c r="N354" s="76"/>
    </row>
    <row r="355" spans="1:14" ht="21" thickBot="1">
      <c r="A355" s="73"/>
      <c r="B355" s="77" t="s">
        <v>0</v>
      </c>
      <c r="C355" s="78" t="s">
        <v>1</v>
      </c>
      <c r="D355" s="78"/>
      <c r="E355" s="78" t="s">
        <v>2</v>
      </c>
      <c r="F355" s="78" t="s">
        <v>3</v>
      </c>
      <c r="G355" s="78" t="s">
        <v>4</v>
      </c>
      <c r="H355" s="78" t="s">
        <v>5</v>
      </c>
      <c r="I355" s="78"/>
      <c r="J355" s="78" t="s">
        <v>6</v>
      </c>
      <c r="K355" s="78" t="s">
        <v>7</v>
      </c>
      <c r="L355" s="78" t="s">
        <v>8</v>
      </c>
      <c r="M355" s="31" t="s">
        <v>9</v>
      </c>
      <c r="N355" s="79" t="s">
        <v>10</v>
      </c>
    </row>
    <row r="356" spans="1:14" ht="36" thickBot="1">
      <c r="A356" s="73"/>
      <c r="B356" s="11" t="s">
        <v>12</v>
      </c>
      <c r="C356" s="8">
        <v>996</v>
      </c>
      <c r="D356" s="8"/>
      <c r="E356" s="8">
        <v>11234.88</v>
      </c>
      <c r="F356" s="8">
        <f>E356/C356</f>
        <v>11.28</v>
      </c>
      <c r="G356" s="8" t="e">
        <f>#REF!</f>
        <v>#REF!</v>
      </c>
      <c r="H356" s="8" t="e">
        <f>C356-G356</f>
        <v>#REF!</v>
      </c>
      <c r="I356" s="8"/>
      <c r="J356" s="8" t="e">
        <f>#REF!</f>
        <v>#REF!</v>
      </c>
      <c r="K356" s="8" t="e">
        <f>#REF!</f>
        <v>#REF!</v>
      </c>
      <c r="L356" s="8" t="e">
        <f>J356-K356</f>
        <v>#REF!</v>
      </c>
      <c r="M356" s="8"/>
      <c r="N356" s="9" t="e">
        <f>F356+#REF!</f>
        <v>#REF!</v>
      </c>
    </row>
    <row r="357" spans="1:14">
      <c r="A357" s="73"/>
      <c r="B357" s="20"/>
      <c r="C357" s="80"/>
      <c r="D357" s="80"/>
      <c r="E357" s="81"/>
      <c r="F357" s="81"/>
      <c r="G357" s="81"/>
      <c r="H357" s="81"/>
      <c r="I357" s="81"/>
      <c r="J357" s="81"/>
      <c r="K357" s="81"/>
      <c r="L357" s="81"/>
      <c r="M357" s="81"/>
      <c r="N357" s="22"/>
    </row>
    <row r="358" spans="1:14">
      <c r="A358" s="73"/>
      <c r="B358" s="20"/>
      <c r="C358" s="80"/>
      <c r="D358" s="80"/>
      <c r="E358" s="81"/>
      <c r="F358" s="81"/>
      <c r="G358" s="81"/>
      <c r="H358" s="81"/>
      <c r="I358" s="81"/>
      <c r="J358" s="81"/>
      <c r="K358" s="81"/>
      <c r="L358" s="81"/>
      <c r="M358" s="81"/>
      <c r="N358" s="22"/>
    </row>
    <row r="359" spans="1:14">
      <c r="A359" s="73"/>
      <c r="B359" s="20"/>
      <c r="C359" s="80"/>
      <c r="D359" s="80"/>
      <c r="E359" s="81"/>
      <c r="F359" s="81"/>
      <c r="G359" s="81"/>
      <c r="H359" s="81"/>
      <c r="I359" s="81"/>
      <c r="J359" s="81"/>
      <c r="K359" s="81"/>
      <c r="L359" s="81"/>
      <c r="M359" s="81"/>
      <c r="N359" s="22"/>
    </row>
    <row r="360" spans="1:14" ht="20">
      <c r="A360" s="73"/>
      <c r="B360" s="24" t="s">
        <v>16</v>
      </c>
      <c r="C360" s="82"/>
      <c r="D360" s="82"/>
      <c r="E360" s="83"/>
      <c r="F360" s="81"/>
      <c r="G360" s="84" t="s">
        <v>17</v>
      </c>
      <c r="H360" s="85"/>
      <c r="I360" s="85"/>
      <c r="J360" s="86"/>
      <c r="K360" s="86"/>
      <c r="L360" s="86"/>
      <c r="M360" s="86"/>
      <c r="N360" s="22"/>
    </row>
    <row r="361" spans="1:14" ht="20">
      <c r="A361" s="73"/>
      <c r="B361" s="28" t="s">
        <v>18</v>
      </c>
      <c r="C361" s="29" t="s">
        <v>19</v>
      </c>
      <c r="D361" s="29" t="s">
        <v>20</v>
      </c>
      <c r="E361" s="30" t="s">
        <v>21</v>
      </c>
      <c r="F361" s="81"/>
      <c r="G361" s="87" t="s">
        <v>18</v>
      </c>
      <c r="H361" s="87" t="s">
        <v>1</v>
      </c>
      <c r="I361" s="87" t="s">
        <v>22</v>
      </c>
      <c r="J361" s="87" t="s">
        <v>2</v>
      </c>
      <c r="K361" s="87" t="s">
        <v>23</v>
      </c>
      <c r="L361" s="87" t="s">
        <v>24</v>
      </c>
      <c r="M361" s="87" t="s">
        <v>9</v>
      </c>
      <c r="N361" s="87" t="s">
        <v>25</v>
      </c>
    </row>
    <row r="362" spans="1:14" ht="20">
      <c r="A362" s="73"/>
      <c r="B362" s="32"/>
      <c r="C362" s="85"/>
      <c r="D362" s="85"/>
      <c r="E362" s="61"/>
      <c r="F362" s="81"/>
      <c r="G362" s="88"/>
      <c r="H362" s="89"/>
      <c r="I362" s="90"/>
      <c r="J362" s="90"/>
      <c r="K362" s="90"/>
      <c r="L362" s="90"/>
      <c r="M362" s="90"/>
      <c r="N362" s="91"/>
    </row>
    <row r="363" spans="1:14" ht="20">
      <c r="A363" s="73"/>
      <c r="B363" s="63"/>
      <c r="C363" s="85"/>
      <c r="D363" s="85"/>
      <c r="E363" s="61"/>
      <c r="F363" s="81"/>
      <c r="G363" s="92"/>
      <c r="H363" s="93"/>
      <c r="I363" s="82"/>
      <c r="J363" s="82"/>
      <c r="K363" s="82"/>
      <c r="L363" s="82"/>
      <c r="M363" s="82"/>
      <c r="N363" s="94"/>
    </row>
    <row r="364" spans="1:14" ht="20">
      <c r="A364" s="73"/>
      <c r="B364" s="32"/>
      <c r="C364" s="85"/>
      <c r="D364" s="85"/>
      <c r="E364" s="61"/>
      <c r="F364" s="81"/>
      <c r="G364" s="92"/>
      <c r="H364" s="93"/>
      <c r="I364" s="82"/>
      <c r="J364" s="82"/>
      <c r="K364" s="82"/>
      <c r="L364" s="82"/>
      <c r="M364" s="82"/>
      <c r="N364" s="94"/>
    </row>
    <row r="365" spans="1:14" ht="20">
      <c r="A365" s="73"/>
      <c r="B365" s="63"/>
      <c r="C365" s="85"/>
      <c r="D365" s="85"/>
      <c r="E365" s="61"/>
      <c r="F365" s="81"/>
      <c r="G365" s="92"/>
      <c r="H365" s="93"/>
      <c r="I365" s="82"/>
      <c r="J365" s="82"/>
      <c r="K365" s="82"/>
      <c r="L365" s="82"/>
      <c r="M365" s="82"/>
      <c r="N365" s="94"/>
    </row>
    <row r="366" spans="1:14" ht="20">
      <c r="A366" s="73"/>
      <c r="B366" s="64"/>
      <c r="C366" s="85"/>
      <c r="D366" s="85"/>
      <c r="F366" s="81"/>
      <c r="G366" s="92"/>
      <c r="H366" s="93"/>
      <c r="I366" s="82"/>
      <c r="J366" s="82"/>
      <c r="K366" s="82"/>
      <c r="L366" s="82"/>
      <c r="M366" s="82"/>
      <c r="N366" s="94"/>
    </row>
    <row r="367" spans="1:14" ht="20">
      <c r="A367" s="73"/>
      <c r="B367" s="41"/>
      <c r="C367" s="42"/>
      <c r="D367" s="42"/>
      <c r="E367" s="43"/>
      <c r="F367" s="95"/>
      <c r="G367" s="92"/>
      <c r="H367" s="93"/>
      <c r="I367" s="82"/>
      <c r="J367" s="82"/>
      <c r="K367" s="82"/>
      <c r="L367" s="82"/>
      <c r="M367" s="82"/>
      <c r="N367" s="94"/>
    </row>
    <row r="368" spans="1:14" ht="20">
      <c r="A368" s="73"/>
      <c r="B368" s="45"/>
      <c r="C368" s="81"/>
      <c r="D368" s="81"/>
      <c r="E368" s="81"/>
      <c r="F368" s="95"/>
      <c r="G368" s="92"/>
      <c r="H368" s="93"/>
      <c r="I368" s="82"/>
      <c r="J368" s="82"/>
      <c r="K368" s="82"/>
      <c r="L368" s="82"/>
      <c r="M368" s="82"/>
      <c r="N368" s="94"/>
    </row>
    <row r="369" spans="1:14" ht="20">
      <c r="A369" s="73"/>
      <c r="B369" s="45"/>
      <c r="C369" s="81"/>
      <c r="D369" s="81"/>
      <c r="E369" s="81"/>
      <c r="F369" s="95"/>
      <c r="G369" s="92"/>
      <c r="H369" s="93"/>
      <c r="I369" s="82"/>
      <c r="J369" s="82"/>
      <c r="K369" s="82"/>
      <c r="L369" s="82"/>
      <c r="M369" s="82"/>
      <c r="N369" s="94"/>
    </row>
    <row r="370" spans="1:14">
      <c r="A370" s="97"/>
      <c r="B370" s="98"/>
      <c r="C370" s="3"/>
      <c r="D370" s="3"/>
      <c r="E370" s="2"/>
      <c r="F370" s="2"/>
      <c r="G370" s="2"/>
      <c r="H370" s="2"/>
      <c r="I370" s="2"/>
      <c r="J370" s="2"/>
      <c r="K370" s="2"/>
      <c r="L370" s="2"/>
      <c r="M370" s="2"/>
      <c r="N370" s="99"/>
    </row>
    <row r="371" spans="1:14" ht="15" thickBot="1">
      <c r="A371" s="100"/>
      <c r="B371" s="101"/>
      <c r="C371" s="102"/>
      <c r="D371" s="102"/>
      <c r="E371" s="100"/>
      <c r="F371" s="100"/>
      <c r="G371" s="100"/>
      <c r="H371" s="100"/>
      <c r="I371" s="100"/>
      <c r="J371" s="100"/>
      <c r="K371" s="100"/>
      <c r="L371" s="100"/>
      <c r="M371" s="100"/>
      <c r="N371" s="103"/>
    </row>
    <row r="375" spans="1:14" ht="15" thickBot="1"/>
    <row r="376" spans="1:14" ht="35">
      <c r="A376" s="104"/>
      <c r="B376" s="105" t="s">
        <v>43</v>
      </c>
      <c r="C376" s="11">
        <v>45992</v>
      </c>
      <c r="D376" s="231"/>
      <c r="E376" s="106"/>
      <c r="F376" s="106"/>
      <c r="G376" s="106"/>
      <c r="H376" s="106"/>
      <c r="I376" s="106"/>
      <c r="J376" s="106"/>
      <c r="K376" s="106"/>
      <c r="L376" s="106"/>
      <c r="M376" s="106"/>
      <c r="N376" s="107"/>
    </row>
    <row r="377" spans="1:14">
      <c r="A377" s="104"/>
      <c r="B377" s="20"/>
      <c r="C377" s="80"/>
      <c r="D377" s="80"/>
      <c r="E377" s="81"/>
      <c r="G377" s="81"/>
      <c r="H377" s="81"/>
      <c r="I377" s="81"/>
      <c r="J377" s="81"/>
      <c r="K377" s="81"/>
      <c r="L377" s="81"/>
      <c r="M377" s="81"/>
      <c r="N377" s="22"/>
    </row>
    <row r="378" spans="1:14" ht="15" thickBot="1">
      <c r="A378" s="104"/>
      <c r="B378" s="20"/>
      <c r="C378" s="80"/>
      <c r="D378" s="80"/>
      <c r="E378" s="81"/>
      <c r="G378" s="81"/>
      <c r="H378" s="81"/>
      <c r="I378" s="81"/>
      <c r="J378" s="81"/>
      <c r="K378" s="81"/>
      <c r="L378" s="81"/>
      <c r="M378" s="81"/>
      <c r="N378" s="22"/>
    </row>
    <row r="379" spans="1:14" ht="21" thickBot="1">
      <c r="A379" s="104"/>
      <c r="B379" s="108" t="s">
        <v>0</v>
      </c>
      <c r="C379" s="109" t="s">
        <v>1</v>
      </c>
      <c r="D379" s="109"/>
      <c r="E379" s="109" t="s">
        <v>2</v>
      </c>
      <c r="F379" s="109" t="s">
        <v>3</v>
      </c>
      <c r="G379" s="109" t="s">
        <v>4</v>
      </c>
      <c r="H379" s="109" t="s">
        <v>5</v>
      </c>
      <c r="I379" s="109"/>
      <c r="J379" s="109" t="s">
        <v>6</v>
      </c>
      <c r="K379" s="109" t="s">
        <v>7</v>
      </c>
      <c r="L379" s="109" t="s">
        <v>8</v>
      </c>
      <c r="M379" s="31" t="s">
        <v>9</v>
      </c>
      <c r="N379" s="110" t="s">
        <v>10</v>
      </c>
    </row>
    <row r="380" spans="1:14" ht="36" thickBot="1">
      <c r="A380" s="104"/>
      <c r="B380" s="11">
        <v>45992</v>
      </c>
      <c r="C380" s="8">
        <v>800</v>
      </c>
      <c r="D380" s="8"/>
      <c r="E380" s="8">
        <v>8644.0300000000007</v>
      </c>
      <c r="F380" s="8">
        <f>E380/C380</f>
        <v>10.805037500000001</v>
      </c>
      <c r="G380" s="8" t="e">
        <f>#REF!</f>
        <v>#REF!</v>
      </c>
      <c r="H380" s="8" t="e">
        <f>C380-G380</f>
        <v>#REF!</v>
      </c>
      <c r="I380" s="8"/>
      <c r="J380" s="8" t="e">
        <f>#REF!</f>
        <v>#REF!</v>
      </c>
      <c r="K380" s="8" t="e">
        <f>#REF!</f>
        <v>#REF!</v>
      </c>
      <c r="L380" s="8" t="e">
        <f>J380-K380</f>
        <v>#REF!</v>
      </c>
      <c r="M380" s="8"/>
      <c r="N380" s="9" t="e">
        <f>F380+#REF!</f>
        <v>#REF!</v>
      </c>
    </row>
    <row r="381" spans="1:14">
      <c r="A381" s="104"/>
      <c r="B381" s="20"/>
      <c r="C381" s="80"/>
      <c r="D381" s="80"/>
      <c r="E381" s="81"/>
      <c r="G381" s="81"/>
      <c r="H381" s="81"/>
      <c r="I381" s="81"/>
      <c r="J381" s="81"/>
      <c r="K381" s="81"/>
      <c r="L381" s="81"/>
      <c r="M381" s="81"/>
      <c r="N381" s="22"/>
    </row>
    <row r="382" spans="1:14">
      <c r="A382" s="104"/>
      <c r="B382" s="20"/>
      <c r="C382" s="80"/>
      <c r="D382" s="80"/>
      <c r="E382" s="81"/>
      <c r="G382" s="81"/>
      <c r="H382" s="81"/>
      <c r="I382" s="81"/>
      <c r="J382" s="81"/>
      <c r="K382" s="81"/>
      <c r="L382" s="81"/>
      <c r="M382" s="81"/>
      <c r="N382" s="22"/>
    </row>
    <row r="383" spans="1:14">
      <c r="A383" s="104"/>
      <c r="B383" s="20"/>
      <c r="C383" s="80"/>
      <c r="D383" s="80"/>
      <c r="E383" s="81"/>
      <c r="G383" s="81"/>
      <c r="H383" s="81"/>
      <c r="I383" s="81"/>
      <c r="J383" s="81"/>
      <c r="K383" s="81"/>
      <c r="L383" s="81"/>
      <c r="M383" s="81"/>
      <c r="N383" s="22"/>
    </row>
    <row r="384" spans="1:14" ht="20">
      <c r="A384" s="104"/>
      <c r="B384" s="24" t="s">
        <v>16</v>
      </c>
      <c r="C384" s="82"/>
      <c r="D384" s="82"/>
      <c r="E384" s="83"/>
      <c r="G384" s="84" t="s">
        <v>17</v>
      </c>
      <c r="H384" s="85"/>
      <c r="I384" s="85"/>
      <c r="J384" s="86"/>
      <c r="K384" s="86"/>
      <c r="L384" s="86"/>
      <c r="M384" s="86"/>
      <c r="N384" s="22"/>
    </row>
    <row r="385" spans="1:15" ht="20">
      <c r="A385" s="104"/>
      <c r="B385" s="28" t="s">
        <v>18</v>
      </c>
      <c r="C385" s="29" t="s">
        <v>19</v>
      </c>
      <c r="D385" s="29" t="s">
        <v>20</v>
      </c>
      <c r="E385" s="30" t="s">
        <v>21</v>
      </c>
      <c r="G385" s="31" t="s">
        <v>18</v>
      </c>
      <c r="H385" s="31" t="s">
        <v>1</v>
      </c>
      <c r="I385" s="31" t="s">
        <v>22</v>
      </c>
      <c r="J385" s="31" t="s">
        <v>2</v>
      </c>
      <c r="K385" s="31" t="s">
        <v>23</v>
      </c>
      <c r="L385" s="31" t="s">
        <v>24</v>
      </c>
      <c r="M385" s="31" t="s">
        <v>9</v>
      </c>
      <c r="N385" s="31" t="s">
        <v>25</v>
      </c>
    </row>
    <row r="386" spans="1:15" ht="20">
      <c r="A386" s="104"/>
      <c r="B386" s="111"/>
      <c r="C386" s="85"/>
      <c r="D386" s="85"/>
      <c r="E386" s="61"/>
      <c r="G386" s="112"/>
      <c r="H386" s="113"/>
      <c r="I386" s="114"/>
      <c r="J386" s="114"/>
      <c r="K386" s="114"/>
      <c r="L386" s="115"/>
      <c r="M386" s="115"/>
      <c r="N386" s="115">
        <f>IF(J386&gt;0,(J386+M386)/H386,0)</f>
        <v>0</v>
      </c>
    </row>
    <row r="387" spans="1:15" ht="20">
      <c r="A387" s="104"/>
      <c r="B387" s="63"/>
      <c r="C387" s="85"/>
      <c r="D387" s="85"/>
      <c r="E387" s="61"/>
      <c r="F387" s="1" t="s">
        <v>134</v>
      </c>
      <c r="G387" s="96">
        <v>46038</v>
      </c>
      <c r="H387" s="93">
        <v>50</v>
      </c>
      <c r="I387" s="82"/>
      <c r="J387" s="82"/>
      <c r="K387" s="82"/>
      <c r="L387" s="94"/>
      <c r="M387" s="94"/>
      <c r="N387" s="94"/>
    </row>
    <row r="388" spans="1:15" ht="20">
      <c r="A388" s="104"/>
      <c r="B388" s="63"/>
      <c r="C388" s="85"/>
      <c r="D388" s="85"/>
      <c r="E388" s="61"/>
      <c r="F388" s="1" t="s">
        <v>27</v>
      </c>
      <c r="G388" s="159">
        <v>46038</v>
      </c>
      <c r="H388" s="93">
        <v>60</v>
      </c>
      <c r="I388" s="82"/>
      <c r="J388" s="82"/>
      <c r="K388" s="82"/>
      <c r="L388" s="94"/>
      <c r="M388" s="94"/>
      <c r="N388" s="94"/>
      <c r="O388" s="38"/>
    </row>
    <row r="389" spans="1:15" ht="20">
      <c r="A389" s="104"/>
      <c r="B389" s="39"/>
      <c r="C389" s="82"/>
      <c r="D389" s="82"/>
      <c r="E389" s="61"/>
      <c r="F389" s="1" t="s">
        <v>55</v>
      </c>
      <c r="G389" s="159">
        <v>46038</v>
      </c>
      <c r="H389" s="93">
        <v>50</v>
      </c>
      <c r="I389" s="118"/>
      <c r="J389" s="82"/>
      <c r="K389" s="82"/>
      <c r="L389" s="94"/>
      <c r="M389" s="94"/>
      <c r="N389" s="94"/>
      <c r="O389" s="38"/>
    </row>
    <row r="390" spans="1:15" ht="20">
      <c r="A390" s="104"/>
      <c r="B390" s="40"/>
      <c r="C390" s="82"/>
      <c r="D390" s="82"/>
      <c r="E390" s="61"/>
      <c r="F390" s="1" t="s">
        <v>56</v>
      </c>
      <c r="G390" s="159">
        <v>46038</v>
      </c>
      <c r="H390" s="93">
        <v>60</v>
      </c>
      <c r="I390" s="118"/>
      <c r="J390" s="82"/>
      <c r="K390" s="82"/>
      <c r="L390" s="94"/>
      <c r="M390" s="94"/>
      <c r="N390" s="94"/>
      <c r="O390" s="38"/>
    </row>
    <row r="391" spans="1:15" ht="20">
      <c r="A391" s="104"/>
      <c r="B391" s="41"/>
      <c r="C391" s="42"/>
      <c r="D391" s="42"/>
      <c r="E391" s="43"/>
      <c r="F391" s="1" t="s">
        <v>53</v>
      </c>
      <c r="G391" s="159">
        <v>46038</v>
      </c>
      <c r="H391" s="93">
        <v>60</v>
      </c>
      <c r="I391" s="118"/>
      <c r="J391" s="82"/>
      <c r="K391" s="82"/>
      <c r="L391" s="94"/>
      <c r="M391" s="94"/>
      <c r="N391" s="94"/>
      <c r="O391" s="38"/>
    </row>
    <row r="392" spans="1:15" ht="20">
      <c r="A392" s="104"/>
      <c r="B392" s="45"/>
      <c r="C392" s="81"/>
      <c r="D392" s="81"/>
      <c r="E392" s="81"/>
      <c r="G392" s="116"/>
      <c r="H392" s="93"/>
      <c r="I392" s="82"/>
      <c r="J392" s="82"/>
      <c r="K392" s="82"/>
      <c r="L392" s="94"/>
      <c r="M392" s="94"/>
      <c r="N392" s="94"/>
    </row>
    <row r="393" spans="1:15" ht="20">
      <c r="A393" s="104"/>
      <c r="B393" s="45"/>
      <c r="C393" s="81"/>
      <c r="D393" s="81"/>
      <c r="E393" s="81"/>
      <c r="G393" s="116"/>
      <c r="H393" s="93"/>
      <c r="I393" s="82"/>
      <c r="J393" s="82"/>
      <c r="K393" s="82"/>
      <c r="L393" s="94"/>
      <c r="M393" s="94"/>
      <c r="N393" s="94"/>
    </row>
    <row r="394" spans="1:15">
      <c r="A394" s="104"/>
      <c r="B394" s="20"/>
      <c r="C394" s="80"/>
      <c r="D394" s="80"/>
      <c r="E394" s="81"/>
      <c r="G394" s="2"/>
      <c r="H394" s="2"/>
      <c r="I394" s="2"/>
      <c r="J394" s="2"/>
      <c r="K394" s="2"/>
      <c r="L394" s="2"/>
      <c r="M394" s="2"/>
      <c r="N394" s="99"/>
    </row>
    <row r="395" spans="1:15" ht="15" thickBot="1">
      <c r="A395" s="104"/>
      <c r="B395" s="119"/>
      <c r="C395" s="120"/>
      <c r="D395" s="120"/>
      <c r="E395" s="121"/>
      <c r="F395" s="121"/>
      <c r="G395" s="121"/>
      <c r="H395" s="121"/>
      <c r="I395" s="121"/>
      <c r="J395" s="121"/>
      <c r="K395" s="121"/>
      <c r="L395" s="121"/>
      <c r="M395" s="121"/>
      <c r="N395" s="122"/>
    </row>
  </sheetData>
  <hyperlinks>
    <hyperlink ref="G63" r:id="rId1" display="https://sellercentral.amazon.com/awd/inbound-shipment/STAR-UDWNA7YEN3VFQ" xr:uid="{AC8CD441-E68B-764C-AB59-B50BF3762D9C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order+ship 2025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2026-01-20T11:00:48Z</dcterms:created>
  <dcterms:modified xsi:type="dcterms:W3CDTF">2026-01-20T17:28:51Z</dcterms:modified>
</cp:coreProperties>
</file>